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del Coefficients" sheetId="2" state="visible" r:id="rId2"/>
    <sheet name="Loan Portfolio &amp; Scoring" sheetId="3" state="visible" r:id="rId3"/>
    <sheet name="Model Validation" sheetId="4" state="visible" r:id="rId4"/>
    <sheet name="Dashboard" sheetId="5" state="visible" r:id="rId5"/>
    <sheet name="Insights" sheetId="6" state="visible" r:id="rId6"/>
  </sheets>
  <definedNames>
    <definedName name="_xlnm._FilterDatabase" localSheetId="2" hidden="1">'Loan Portfolio &amp; Scoring'!$A$1:$U$201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  <sz val="10"/>
    </font>
    <font>
      <b val="1"/>
      <color rgb="001F3864"/>
      <sz val="12"/>
    </font>
    <font>
      <sz val="10"/>
    </font>
    <font>
      <b val="1"/>
      <color rgb="00FFFFFF"/>
      <sz val="11"/>
    </font>
    <font>
      <b val="1"/>
    </font>
    <font>
      <b val="1"/>
      <color rgb="001F3864"/>
    </font>
    <font>
      <i val="1"/>
      <color rgb="00888888"/>
      <sz val="9"/>
    </font>
    <font>
      <sz val="10.5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165" fontId="7" fillId="0" borderId="0" pivotButton="0" quotePrefix="0" xfId="0"/>
    <xf numFmtId="0" fontId="8" fillId="0" borderId="0" pivotButton="0" quotePrefix="0" xfId="0"/>
    <xf numFmtId="0" fontId="0" fillId="0" borderId="1" applyAlignment="1" pivotButton="0" quotePrefix="0" xfId="0">
      <alignment horizontal="center"/>
    </xf>
    <xf numFmtId="165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Actual Default Rate by Predicted-Risk Decile (should rise left to right)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 Validation'!E5</f>
            </strRef>
          </tx>
          <spPr>
            <a:ln>
              <a:prstDash val="solid"/>
            </a:ln>
          </spPr>
          <cat>
            <numRef>
              <f>'Model Validation'!$B$6:$B$15</f>
            </numRef>
          </cat>
          <val>
            <numRef>
              <f>'Model Validation'!$E$6:$E$15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Actual Default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Predicted Probability vs. Actual Default Rate by Decile</a:t>
            </a:r>
          </a:p>
        </rich>
      </tx>
    </title>
    <plotArea>
      <lineChart>
        <grouping val="standard"/>
        <ser>
          <idx val="0"/>
          <order val="0"/>
          <tx>
            <strRef>
              <f>'Model Validation'!D5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 Validation'!$B$6:$B$15</f>
            </numRef>
          </cat>
          <val>
            <numRef>
              <f>'Model Validation'!$D$6:$D$15</f>
            </numRef>
          </val>
        </ser>
        <ser>
          <idx val="1"/>
          <order val="1"/>
          <tx>
            <strRef>
              <f>'Model Validation'!E5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 Validation'!$B$6:$B$15</f>
            </numRef>
          </cat>
          <val>
            <numRef>
              <f>'Model Validation'!$E$6:$E$15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21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Microfinance Loan Default Risk Prediction Model</t>
        </is>
      </c>
    </row>
    <row r="3">
      <c r="B3" s="2" t="inlineStr">
        <is>
          <t>A logistic-regression credit-risk model for microfinance lending, fully embedded as live spreadsheet formulas</t>
        </is>
      </c>
    </row>
    <row r="5">
      <c r="B5" s="3" t="inlineStr">
        <is>
          <t>PURPOSE</t>
        </is>
      </c>
    </row>
    <row r="6">
      <c r="B6" s="4" t="inlineStr">
        <is>
          <t>Microfinance institutions (MFIs) in Pakistan - Akhuwat, Kashf Foundation, FINCA Pakistan, National Rural</t>
        </is>
      </c>
    </row>
    <row r="7">
      <c r="B7" s="4" t="inlineStr">
        <is>
          <t>Support Programme (NRSP) Microfinance Bank, and others - extend small, often uncollateralised loans to low-</t>
        </is>
      </c>
    </row>
    <row r="8">
      <c r="B8" s="4" t="inlineStr">
        <is>
          <t>income borrowers who have no access to conventional banking. Because loan sizes are small and volumes are high,</t>
        </is>
      </c>
    </row>
    <row r="9">
      <c r="B9" s="4" t="inlineStr">
        <is>
          <t>MFIs cannot afford a manual credit-committee review for every applicant the way a commercial bank does for a</t>
        </is>
      </c>
    </row>
    <row r="10">
      <c r="B10" s="4" t="inlineStr">
        <is>
          <t>large corporate loan - they need a fast, statistically grounded, and auditable way to estimate default risk from</t>
        </is>
      </c>
    </row>
    <row r="11">
      <c r="B11" s="4" t="inlineStr">
        <is>
          <t>a handful of application-time variables.</t>
        </is>
      </c>
    </row>
    <row r="13">
      <c r="B13" s="3" t="inlineStr">
        <is>
          <t>THE MODEL</t>
        </is>
      </c>
    </row>
    <row r="14">
      <c r="B14" s="4" t="inlineStr">
        <is>
          <t>This workbook fits a LOGISTIC REGRESSION (the industry-standard technique for binary credit-risk prediction,</t>
        </is>
      </c>
    </row>
    <row r="15">
      <c r="B15" s="4" t="inlineStr">
        <is>
          <t>used in real Basel-style probability-of-default models) on 200 synthetic microfinance loans using 8 predictors:</t>
        </is>
      </c>
    </row>
    <row r="16">
      <c r="B16" s="4" t="inlineStr">
        <is>
          <t xml:space="preserve">  Loan Amount, Loan Term, Borrower Age, Monthly Income, Number of Dependents, Previous Loans Completed,</t>
        </is>
      </c>
    </row>
    <row r="17">
      <c r="B17" s="4" t="inlineStr">
        <is>
          <t xml:space="preserve">  Group Lending (joint liability) flag, and Guarantor-Present flag.</t>
        </is>
      </c>
    </row>
    <row r="18">
      <c r="B18" s="4" t="inlineStr">
        <is>
          <t>The model was fitted OFFLINE in Python (scikit-learn) on standardised inputs, and the FITTED coefficients are</t>
        </is>
      </c>
    </row>
    <row r="19">
      <c r="B19" s="4" t="inlineStr">
        <is>
          <t>then embedded directly as live Excel formulas (score = intercept + sum(coefficient x standardised value),</t>
        </is>
      </c>
    </row>
    <row r="20">
      <c r="B20" s="4" t="inlineStr">
        <is>
          <t>probability = 1/(1+EXP(-score)) using Excel's EXP function) - so every one of the 200 loans' predicted default</t>
        </is>
      </c>
    </row>
    <row r="21">
      <c r="B21" s="4" t="inlineStr">
        <is>
          <t>probability recalculates in the spreadsheet itself, with no hidden 'black box' step.</t>
        </is>
      </c>
    </row>
    <row r="23">
      <c r="B23" s="3" t="inlineStr">
        <is>
          <t>HOW TO USE / WORKBOOK MAP</t>
        </is>
      </c>
    </row>
    <row r="24">
      <c r="B24" s="4" t="inlineStr">
        <is>
          <t>1. 'Model Coefficients' - the fitted intercept and 8 coefficients (log-odds scale), with each variable's</t>
        </is>
      </c>
    </row>
    <row r="25">
      <c r="B25" s="4" t="inlineStr">
        <is>
          <t xml:space="preserve">   direction of effect explained.</t>
        </is>
      </c>
    </row>
    <row r="26">
      <c r="B26" s="4" t="inlineStr">
        <is>
          <t>2. 'Loan Portfolio &amp; Scoring' - all 200 loans with inputs, the standardised value of each, the resulting</t>
        </is>
      </c>
    </row>
    <row r="27">
      <c r="B27" s="4" t="inlineStr">
        <is>
          <t xml:space="preserve">   predicted default probability, a risk band, and the (simulated) actual outcome used for validation.</t>
        </is>
      </c>
    </row>
    <row r="28">
      <c r="B28" s="4" t="inlineStr">
        <is>
          <t>3. 'Model Validation' - a decile/gains table (the standard credit-scoring validation technique): loans are</t>
        </is>
      </c>
    </row>
    <row r="29">
      <c r="B29" s="4" t="inlineStr">
        <is>
          <t xml:space="preserve">   sorted into 10 equal-sized groups by predicted probability, and the ACTUAL default rate in each decile is</t>
        </is>
      </c>
    </row>
    <row r="30">
      <c r="B30" s="4" t="inlineStr">
        <is>
          <t xml:space="preserve">   compared - a well-behaved model shows actual default rate rising monotonically from decile 1 to decile 10.</t>
        </is>
      </c>
    </row>
    <row r="31">
      <c r="B31" s="4" t="inlineStr">
        <is>
          <t xml:space="preserve">   Also includes a confusion matrix and accuracy/precision/recall at a chosen probability cutoff, and the</t>
        </is>
      </c>
    </row>
    <row r="32">
      <c r="B32" s="4" t="inlineStr">
        <is>
          <t xml:space="preserve">   Kolmogorov-Smirnov (KS) statistic, a standard credit-risk model discrimination measure.</t>
        </is>
      </c>
    </row>
    <row r="33">
      <c r="B33" s="4" t="inlineStr">
        <is>
          <t>4. 'Dashboard' - the decile default-rate chart (rank-ordering check) and the cutoff confusion-matrix summary.</t>
        </is>
      </c>
    </row>
    <row r="34">
      <c r="B34" s="4" t="inlineStr">
        <is>
          <t>5. 'Insights' - what the model shows and how a real MFI would extend it.</t>
        </is>
      </c>
    </row>
    <row r="36">
      <c r="B36" s="3" t="inlineStr">
        <is>
          <t>DATA NOTE</t>
        </is>
      </c>
    </row>
    <row r="37">
      <c r="B37" s="4" t="inlineStr">
        <is>
          <t>All 200 loan records and outcomes are SYNTHETIC, generated from a known statistical process for this project -</t>
        </is>
      </c>
    </row>
    <row r="38">
      <c r="B38" s="4" t="inlineStr">
        <is>
          <t>they are not real borrower data. The modelling approach (logistic regression, decile validation, KS statistic)</t>
        </is>
      </c>
    </row>
    <row r="39">
      <c r="B39" s="4" t="inlineStr">
        <is>
          <t>is the same one used in real microfinance and consumer-credit risk teams.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2" customWidth="1" min="3" max="3"/>
    <col width="20" customWidth="1" min="4" max="4"/>
    <col width="46" customWidth="1" min="5" max="5"/>
  </cols>
  <sheetData>
    <row r="2">
      <c r="B2" s="1" t="inlineStr">
        <is>
          <t>Fitted Logistic Regression Coefficients</t>
        </is>
      </c>
    </row>
    <row r="3">
      <c r="B3" s="2" t="inlineStr">
        <is>
          <t>Fitted offline (scikit-learn) on standardised predictors; embedded here for live scoring.</t>
        </is>
      </c>
    </row>
    <row r="5">
      <c r="B5" s="5" t="inlineStr">
        <is>
          <t>Variable</t>
        </is>
      </c>
      <c r="C5" s="5" t="inlineStr">
        <is>
          <t>Coefficient (log-odds, standardised)</t>
        </is>
      </c>
      <c r="D5" s="5" t="inlineStr">
        <is>
          <t>Odds Ratio (e^coef)</t>
        </is>
      </c>
      <c r="E5" s="5" t="inlineStr">
        <is>
          <t>Direction of Effect</t>
        </is>
      </c>
    </row>
    <row r="6">
      <c r="B6" s="6" t="inlineStr">
        <is>
          <t>Intercept</t>
        </is>
      </c>
      <c r="C6" s="6" t="n">
        <v>-1.7502</v>
      </c>
    </row>
    <row r="7">
      <c r="B7" s="6" t="inlineStr">
        <is>
          <t>Loan Amount (PKR '000)</t>
        </is>
      </c>
      <c r="C7" s="6" t="n">
        <v>0.8979</v>
      </c>
      <c r="D7" s="7">
        <f>EXP(C7)</f>
        <v/>
      </c>
      <c r="E7" s="6" t="inlineStr">
        <is>
          <t>Larger loan amount -&gt; strongly HIGHER predicted default risk (fitted coef. +0.898)</t>
        </is>
      </c>
    </row>
    <row r="8">
      <c r="B8" s="6" t="inlineStr">
        <is>
          <t>Loan Term (months)</t>
        </is>
      </c>
      <c r="C8" s="6" t="n">
        <v>0.1523</v>
      </c>
      <c r="D8" s="7">
        <f>EXP(C8)</f>
        <v/>
      </c>
      <c r="E8" s="6" t="inlineStr">
        <is>
          <t>Longer loan term -&gt; only slightly HIGHER predicted default risk (fitted coef. +0.152)</t>
        </is>
      </c>
    </row>
    <row r="9">
      <c r="B9" s="6" t="inlineStr">
        <is>
          <t>Borrower Age</t>
        </is>
      </c>
      <c r="C9" s="6" t="n">
        <v>0.5196</v>
      </c>
      <c r="D9" s="7">
        <f>EXP(C9)</f>
        <v/>
      </c>
      <c r="E9" s="6" t="inlineStr">
        <is>
          <t>Older borrower -&gt; moderately HIGHER predicted default risk (fitted coef. +0.520)</t>
        </is>
      </c>
    </row>
    <row r="10">
      <c r="B10" s="6" t="inlineStr">
        <is>
          <t>Monthly Income (PKR '000)</t>
        </is>
      </c>
      <c r="C10" s="6" t="n">
        <v>-1.0894</v>
      </c>
      <c r="D10" s="7">
        <f>EXP(C10)</f>
        <v/>
      </c>
      <c r="E10" s="6" t="inlineStr">
        <is>
          <t>Higher monthly income -&gt; strongly LOWER predicted default risk (fitted coef. -1.089)</t>
        </is>
      </c>
    </row>
    <row r="11">
      <c r="B11" s="6" t="inlineStr">
        <is>
          <t>Dependents</t>
        </is>
      </c>
      <c r="C11" s="6" t="n">
        <v>0.4237</v>
      </c>
      <c r="D11" s="7">
        <f>EXP(C11)</f>
        <v/>
      </c>
      <c r="E11" s="6" t="inlineStr">
        <is>
          <t>More dependents -&gt; moderately HIGHER predicted default risk (fitted coef. +0.424)</t>
        </is>
      </c>
    </row>
    <row r="12">
      <c r="B12" s="6" t="inlineStr">
        <is>
          <t>Previous Loans Completed</t>
        </is>
      </c>
      <c r="C12" s="6" t="n">
        <v>-0.1231</v>
      </c>
      <c r="D12" s="7">
        <f>EXP(C12)</f>
        <v/>
      </c>
      <c r="E12" s="6" t="inlineStr">
        <is>
          <t>More prior loans completed -&gt; only slightly LOWER predicted default risk (fitted coef. -0.123)</t>
        </is>
      </c>
    </row>
    <row r="13">
      <c r="B13" s="6" t="inlineStr">
        <is>
          <t>Group Lending (1/0)</t>
        </is>
      </c>
      <c r="C13" s="6" t="n">
        <v>-0.3256</v>
      </c>
      <c r="D13" s="7">
        <f>EXP(C13)</f>
        <v/>
      </c>
      <c r="E13" s="6" t="inlineStr">
        <is>
          <t>Group/joint-liability lending -&gt; moderately LOWER predicted default risk (fitted coef. -0.326)</t>
        </is>
      </c>
    </row>
    <row r="14">
      <c r="B14" s="6" t="inlineStr">
        <is>
          <t>Guarantor Present (1/0)</t>
        </is>
      </c>
      <c r="C14" s="6" t="n">
        <v>-0.471</v>
      </c>
      <c r="D14" s="7">
        <f>EXP(C14)</f>
        <v/>
      </c>
      <c r="E14" s="6" t="inlineStr">
        <is>
          <t>Guarantor present -&gt; moderately LOWER predicted default risk (fitted coef. -0.471)</t>
        </is>
      </c>
    </row>
    <row r="16">
      <c r="B16" s="3" t="inlineStr">
        <is>
          <t>Standardisation Parameters (mean, std used to fit the model)</t>
        </is>
      </c>
    </row>
    <row r="17">
      <c r="B17" s="5" t="inlineStr">
        <is>
          <t>Variable</t>
        </is>
      </c>
      <c r="C17" s="5" t="inlineStr">
        <is>
          <t>Mean</t>
        </is>
      </c>
      <c r="D17" s="5" t="inlineStr">
        <is>
          <t>Std Dev</t>
        </is>
      </c>
    </row>
    <row r="18">
      <c r="B18" s="6" t="inlineStr">
        <is>
          <t>Loan Amount (PKR '000)</t>
        </is>
      </c>
      <c r="C18" s="6" t="n">
        <v>153.1544</v>
      </c>
      <c r="D18" s="6" t="n">
        <v>80.2102</v>
      </c>
    </row>
    <row r="19">
      <c r="B19" s="6" t="inlineStr">
        <is>
          <t>Loan Term (months)</t>
        </is>
      </c>
      <c r="C19" s="6" t="n">
        <v>14.52</v>
      </c>
      <c r="D19" s="6" t="n">
        <v>6.691</v>
      </c>
    </row>
    <row r="20">
      <c r="B20" s="6" t="inlineStr">
        <is>
          <t>Borrower Age</t>
        </is>
      </c>
      <c r="C20" s="6" t="n">
        <v>38.94</v>
      </c>
      <c r="D20" s="6" t="n">
        <v>11.9669</v>
      </c>
    </row>
    <row r="21">
      <c r="B21" s="6" t="inlineStr">
        <is>
          <t>Monthly Income (PKR '000)</t>
        </is>
      </c>
      <c r="C21" s="6" t="n">
        <v>72.7312</v>
      </c>
      <c r="D21" s="6" t="n">
        <v>29.4971</v>
      </c>
    </row>
    <row r="22">
      <c r="B22" s="6" t="inlineStr">
        <is>
          <t>Dependents</t>
        </is>
      </c>
      <c r="C22" s="6" t="n">
        <v>2.305</v>
      </c>
      <c r="D22" s="6" t="n">
        <v>1.6947</v>
      </c>
    </row>
    <row r="23">
      <c r="B23" s="6" t="inlineStr">
        <is>
          <t>Previous Loans Completed</t>
        </is>
      </c>
      <c r="C23" s="6" t="n">
        <v>2.44</v>
      </c>
      <c r="D23" s="6" t="n">
        <v>1.6542</v>
      </c>
    </row>
    <row r="24">
      <c r="B24" s="6" t="inlineStr">
        <is>
          <t>Group Lending (1/0)</t>
        </is>
      </c>
      <c r="C24" s="6" t="n">
        <v>0.53</v>
      </c>
      <c r="D24" s="6" t="n">
        <v>0.4991</v>
      </c>
    </row>
    <row r="25">
      <c r="B25" s="6" t="inlineStr">
        <is>
          <t>Guarantor Present (1/0)</t>
        </is>
      </c>
      <c r="C25" s="6" t="n">
        <v>0.605</v>
      </c>
      <c r="D25" s="6" t="n">
        <v>0.4889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22" customWidth="1" min="19" max="19"/>
    <col width="14" customWidth="1" min="20" max="20"/>
    <col width="20" customWidth="1" min="21" max="21"/>
  </cols>
  <sheetData>
    <row r="1">
      <c r="A1" s="5" t="inlineStr">
        <is>
          <t>Loan ID</t>
        </is>
      </c>
      <c r="B1" s="5" t="inlineStr">
        <is>
          <t>Loan Amount (PKR '000)</t>
        </is>
      </c>
      <c r="C1" s="5" t="inlineStr">
        <is>
          <t>Loan Term (months)</t>
        </is>
      </c>
      <c r="D1" s="5" t="inlineStr">
        <is>
          <t>Borrower Age</t>
        </is>
      </c>
      <c r="E1" s="5" t="inlineStr">
        <is>
          <t>Monthly Income (PKR '000)</t>
        </is>
      </c>
      <c r="F1" s="5" t="inlineStr">
        <is>
          <t>Dependents</t>
        </is>
      </c>
      <c r="G1" s="5" t="inlineStr">
        <is>
          <t>Previous Loans Completed</t>
        </is>
      </c>
      <c r="H1" s="5" t="inlineStr">
        <is>
          <t>Group Lending (1/0)</t>
        </is>
      </c>
      <c r="I1" s="5" t="inlineStr">
        <is>
          <t>Guarantor Present (1/0)</t>
        </is>
      </c>
      <c r="J1" s="5" t="inlineStr">
        <is>
          <t>Z: Loan Amount (PKR '000)</t>
        </is>
      </c>
      <c r="K1" s="5" t="inlineStr">
        <is>
          <t>Z: Loan Term (months)</t>
        </is>
      </c>
      <c r="L1" s="5" t="inlineStr">
        <is>
          <t>Z: Borrower Age</t>
        </is>
      </c>
      <c r="M1" s="5" t="inlineStr">
        <is>
          <t>Z: Monthly Income (PKR '000)</t>
        </is>
      </c>
      <c r="N1" s="5" t="inlineStr">
        <is>
          <t>Z: Dependents</t>
        </is>
      </c>
      <c r="O1" s="5" t="inlineStr">
        <is>
          <t>Z: Previous Loans Completed</t>
        </is>
      </c>
      <c r="P1" s="5" t="inlineStr">
        <is>
          <t>Z: Group Lending (1/0)</t>
        </is>
      </c>
      <c r="Q1" s="5" t="inlineStr">
        <is>
          <t>Z: Guarantor Present (1/0)</t>
        </is>
      </c>
      <c r="R1" s="5" t="inlineStr">
        <is>
          <t>Log-Odds Score</t>
        </is>
      </c>
      <c r="S1" s="5" t="inlineStr">
        <is>
          <t>Predicted Default Probability</t>
        </is>
      </c>
      <c r="T1" s="5" t="inlineStr">
        <is>
          <t>Risk Band</t>
        </is>
      </c>
      <c r="U1" s="5" t="inlineStr">
        <is>
          <t>Actual Outcome (simulated)</t>
        </is>
      </c>
    </row>
    <row r="2">
      <c r="A2" s="6" t="inlineStr">
        <is>
          <t>MFI-0001</t>
        </is>
      </c>
      <c r="B2" s="6" t="n">
        <v>211.06</v>
      </c>
      <c r="C2" s="6" t="n">
        <v>12</v>
      </c>
      <c r="D2" s="6" t="n">
        <v>20</v>
      </c>
      <c r="E2" s="6" t="n">
        <v>53.15</v>
      </c>
      <c r="F2" s="6" t="n">
        <v>3</v>
      </c>
      <c r="G2" s="6" t="n">
        <v>0</v>
      </c>
      <c r="H2" s="6" t="n">
        <v>0</v>
      </c>
      <c r="I2" s="6" t="n">
        <v>1</v>
      </c>
      <c r="J2" s="7">
        <f>(B2-'Model Coefficients'!$C$18)/'Model Coefficients'!$D$18</f>
        <v/>
      </c>
      <c r="K2" s="7">
        <f>(C2-'Model Coefficients'!$C$19)/'Model Coefficients'!$D$19</f>
        <v/>
      </c>
      <c r="L2" s="7">
        <f>(D2-'Model Coefficients'!$C$20)/'Model Coefficients'!$D$20</f>
        <v/>
      </c>
      <c r="M2" s="7">
        <f>(E2-'Model Coefficients'!$C$21)/'Model Coefficients'!$D$21</f>
        <v/>
      </c>
      <c r="N2" s="7">
        <f>(F2-'Model Coefficients'!$C$22)/'Model Coefficients'!$D$22</f>
        <v/>
      </c>
      <c r="O2" s="7">
        <f>(G2-'Model Coefficients'!$C$23)/'Model Coefficients'!$D$23</f>
        <v/>
      </c>
      <c r="P2" s="7">
        <f>(H2-'Model Coefficients'!$C$24)/'Model Coefficients'!$D$24</f>
        <v/>
      </c>
      <c r="Q2" s="7">
        <f>(I2-'Model Coefficients'!$C$25)/'Model Coefficients'!$D$25</f>
        <v/>
      </c>
      <c r="R2" s="7">
        <f>'Model Coefficients'!$C$6+'Model Coefficients'!$C$7*J2+'Model Coefficients'!$C$8*K2+'Model Coefficients'!$C$9*L2+'Model Coefficients'!$C$10*M2+'Model Coefficients'!$C$11*N2+'Model Coefficients'!$C$12*O2+'Model Coefficients'!$C$13*P2+'Model Coefficients'!$C$14*Q2</f>
        <v/>
      </c>
      <c r="S2" s="8">
        <f>1/(1+EXP(-R2))</f>
        <v/>
      </c>
      <c r="T2" s="6">
        <f>IF(S2&lt;0.15,"Low Risk",IF(S2&lt;0.35,"Medium Risk","High Risk"))</f>
        <v/>
      </c>
      <c r="U2" s="6" t="inlineStr">
        <is>
          <t>Repaid</t>
        </is>
      </c>
    </row>
    <row r="3">
      <c r="A3" s="6" t="inlineStr">
        <is>
          <t>MFI-0002</t>
        </is>
      </c>
      <c r="B3" s="6" t="n">
        <v>35.07</v>
      </c>
      <c r="C3" s="6" t="n">
        <v>24</v>
      </c>
      <c r="D3" s="6" t="n">
        <v>31</v>
      </c>
      <c r="E3" s="6" t="n">
        <v>39.05</v>
      </c>
      <c r="F3" s="6" t="n">
        <v>0</v>
      </c>
      <c r="G3" s="6" t="n">
        <v>3</v>
      </c>
      <c r="H3" s="6" t="n">
        <v>0</v>
      </c>
      <c r="I3" s="6" t="n">
        <v>1</v>
      </c>
      <c r="J3" s="7">
        <f>(B3-'Model Coefficients'!$C$18)/'Model Coefficients'!$D$18</f>
        <v/>
      </c>
      <c r="K3" s="7">
        <f>(C3-'Model Coefficients'!$C$19)/'Model Coefficients'!$D$19</f>
        <v/>
      </c>
      <c r="L3" s="7">
        <f>(D3-'Model Coefficients'!$C$20)/'Model Coefficients'!$D$20</f>
        <v/>
      </c>
      <c r="M3" s="7">
        <f>(E3-'Model Coefficients'!$C$21)/'Model Coefficients'!$D$21</f>
        <v/>
      </c>
      <c r="N3" s="7">
        <f>(F3-'Model Coefficients'!$C$22)/'Model Coefficients'!$D$22</f>
        <v/>
      </c>
      <c r="O3" s="7">
        <f>(G3-'Model Coefficients'!$C$23)/'Model Coefficients'!$D$23</f>
        <v/>
      </c>
      <c r="P3" s="7">
        <f>(H3-'Model Coefficients'!$C$24)/'Model Coefficients'!$D$24</f>
        <v/>
      </c>
      <c r="Q3" s="7">
        <f>(I3-'Model Coefficients'!$C$25)/'Model Coefficients'!$D$25</f>
        <v/>
      </c>
      <c r="R3" s="7">
        <f>'Model Coefficients'!$C$6+'Model Coefficients'!$C$7*J3+'Model Coefficients'!$C$8*K3+'Model Coefficients'!$C$9*L3+'Model Coefficients'!$C$10*M3+'Model Coefficients'!$C$11*N3+'Model Coefficients'!$C$12*O3+'Model Coefficients'!$C$13*P3+'Model Coefficients'!$C$14*Q3</f>
        <v/>
      </c>
      <c r="S3" s="8">
        <f>1/(1+EXP(-R3))</f>
        <v/>
      </c>
      <c r="T3" s="6">
        <f>IF(S3&lt;0.15,"Low Risk",IF(S3&lt;0.35,"Medium Risk","High Risk"))</f>
        <v/>
      </c>
      <c r="U3" s="6" t="inlineStr">
        <is>
          <t>Repaid</t>
        </is>
      </c>
    </row>
    <row r="4">
      <c r="A4" s="6" t="inlineStr">
        <is>
          <t>MFI-0003</t>
        </is>
      </c>
      <c r="B4" s="6" t="n">
        <v>81.7</v>
      </c>
      <c r="C4" s="6" t="n">
        <v>12</v>
      </c>
      <c r="D4" s="6" t="n">
        <v>39</v>
      </c>
      <c r="E4" s="6" t="n">
        <v>56.8</v>
      </c>
      <c r="F4" s="6" t="n">
        <v>4</v>
      </c>
      <c r="G4" s="6" t="n">
        <v>1</v>
      </c>
      <c r="H4" s="6" t="n">
        <v>1</v>
      </c>
      <c r="I4" s="6" t="n">
        <v>1</v>
      </c>
      <c r="J4" s="7">
        <f>(B4-'Model Coefficients'!$C$18)/'Model Coefficients'!$D$18</f>
        <v/>
      </c>
      <c r="K4" s="7">
        <f>(C4-'Model Coefficients'!$C$19)/'Model Coefficients'!$D$19</f>
        <v/>
      </c>
      <c r="L4" s="7">
        <f>(D4-'Model Coefficients'!$C$20)/'Model Coefficients'!$D$20</f>
        <v/>
      </c>
      <c r="M4" s="7">
        <f>(E4-'Model Coefficients'!$C$21)/'Model Coefficients'!$D$21</f>
        <v/>
      </c>
      <c r="N4" s="7">
        <f>(F4-'Model Coefficients'!$C$22)/'Model Coefficients'!$D$22</f>
        <v/>
      </c>
      <c r="O4" s="7">
        <f>(G4-'Model Coefficients'!$C$23)/'Model Coefficients'!$D$23</f>
        <v/>
      </c>
      <c r="P4" s="7">
        <f>(H4-'Model Coefficients'!$C$24)/'Model Coefficients'!$D$24</f>
        <v/>
      </c>
      <c r="Q4" s="7">
        <f>(I4-'Model Coefficients'!$C$25)/'Model Coefficients'!$D$25</f>
        <v/>
      </c>
      <c r="R4" s="7">
        <f>'Model Coefficients'!$C$6+'Model Coefficients'!$C$7*J4+'Model Coefficients'!$C$8*K4+'Model Coefficients'!$C$9*L4+'Model Coefficients'!$C$10*M4+'Model Coefficients'!$C$11*N4+'Model Coefficients'!$C$12*O4+'Model Coefficients'!$C$13*P4+'Model Coefficients'!$C$14*Q4</f>
        <v/>
      </c>
      <c r="S4" s="8">
        <f>1/(1+EXP(-R4))</f>
        <v/>
      </c>
      <c r="T4" s="6">
        <f>IF(S4&lt;0.15,"Low Risk",IF(S4&lt;0.35,"Medium Risk","High Risk"))</f>
        <v/>
      </c>
      <c r="U4" s="6" t="inlineStr">
        <is>
          <t>Repaid</t>
        </is>
      </c>
    </row>
    <row r="5">
      <c r="A5" s="6" t="inlineStr">
        <is>
          <t>MFI-0004</t>
        </is>
      </c>
      <c r="B5" s="6" t="n">
        <v>71.62</v>
      </c>
      <c r="C5" s="6" t="n">
        <v>6</v>
      </c>
      <c r="D5" s="6" t="n">
        <v>42</v>
      </c>
      <c r="E5" s="6" t="n">
        <v>75.45999999999999</v>
      </c>
      <c r="F5" s="6" t="n">
        <v>5</v>
      </c>
      <c r="G5" s="6" t="n">
        <v>1</v>
      </c>
      <c r="H5" s="6" t="n">
        <v>1</v>
      </c>
      <c r="I5" s="6" t="n">
        <v>1</v>
      </c>
      <c r="J5" s="7">
        <f>(B5-'Model Coefficients'!$C$18)/'Model Coefficients'!$D$18</f>
        <v/>
      </c>
      <c r="K5" s="7">
        <f>(C5-'Model Coefficients'!$C$19)/'Model Coefficients'!$D$19</f>
        <v/>
      </c>
      <c r="L5" s="7">
        <f>(D5-'Model Coefficients'!$C$20)/'Model Coefficients'!$D$20</f>
        <v/>
      </c>
      <c r="M5" s="7">
        <f>(E5-'Model Coefficients'!$C$21)/'Model Coefficients'!$D$21</f>
        <v/>
      </c>
      <c r="N5" s="7">
        <f>(F5-'Model Coefficients'!$C$22)/'Model Coefficients'!$D$22</f>
        <v/>
      </c>
      <c r="O5" s="7">
        <f>(G5-'Model Coefficients'!$C$23)/'Model Coefficients'!$D$23</f>
        <v/>
      </c>
      <c r="P5" s="7">
        <f>(H5-'Model Coefficients'!$C$24)/'Model Coefficients'!$D$24</f>
        <v/>
      </c>
      <c r="Q5" s="7">
        <f>(I5-'Model Coefficients'!$C$25)/'Model Coefficients'!$D$25</f>
        <v/>
      </c>
      <c r="R5" s="7">
        <f>'Model Coefficients'!$C$6+'Model Coefficients'!$C$7*J5+'Model Coefficients'!$C$8*K5+'Model Coefficients'!$C$9*L5+'Model Coefficients'!$C$10*M5+'Model Coefficients'!$C$11*N5+'Model Coefficients'!$C$12*O5+'Model Coefficients'!$C$13*P5+'Model Coefficients'!$C$14*Q5</f>
        <v/>
      </c>
      <c r="S5" s="8">
        <f>1/(1+EXP(-R5))</f>
        <v/>
      </c>
      <c r="T5" s="6">
        <f>IF(S5&lt;0.15,"Low Risk",IF(S5&lt;0.35,"Medium Risk","High Risk"))</f>
        <v/>
      </c>
      <c r="U5" s="6" t="inlineStr">
        <is>
          <t>Repaid</t>
        </is>
      </c>
    </row>
    <row r="6">
      <c r="A6" s="6" t="inlineStr">
        <is>
          <t>MFI-0005</t>
        </is>
      </c>
      <c r="B6" s="6" t="n">
        <v>69.25</v>
      </c>
      <c r="C6" s="6" t="n">
        <v>6</v>
      </c>
      <c r="D6" s="6" t="n">
        <v>50</v>
      </c>
      <c r="E6" s="6" t="n">
        <v>95.53</v>
      </c>
      <c r="F6" s="6" t="n">
        <v>2</v>
      </c>
      <c r="G6" s="6" t="n">
        <v>0</v>
      </c>
      <c r="H6" s="6" t="n">
        <v>0</v>
      </c>
      <c r="I6" s="6" t="n">
        <v>0</v>
      </c>
      <c r="J6" s="7">
        <f>(B6-'Model Coefficients'!$C$18)/'Model Coefficients'!$D$18</f>
        <v/>
      </c>
      <c r="K6" s="7">
        <f>(C6-'Model Coefficients'!$C$19)/'Model Coefficients'!$D$19</f>
        <v/>
      </c>
      <c r="L6" s="7">
        <f>(D6-'Model Coefficients'!$C$20)/'Model Coefficients'!$D$20</f>
        <v/>
      </c>
      <c r="M6" s="7">
        <f>(E6-'Model Coefficients'!$C$21)/'Model Coefficients'!$D$21</f>
        <v/>
      </c>
      <c r="N6" s="7">
        <f>(F6-'Model Coefficients'!$C$22)/'Model Coefficients'!$D$22</f>
        <v/>
      </c>
      <c r="O6" s="7">
        <f>(G6-'Model Coefficients'!$C$23)/'Model Coefficients'!$D$23</f>
        <v/>
      </c>
      <c r="P6" s="7">
        <f>(H6-'Model Coefficients'!$C$24)/'Model Coefficients'!$D$24</f>
        <v/>
      </c>
      <c r="Q6" s="7">
        <f>(I6-'Model Coefficients'!$C$25)/'Model Coefficients'!$D$25</f>
        <v/>
      </c>
      <c r="R6" s="7">
        <f>'Model Coefficients'!$C$6+'Model Coefficients'!$C$7*J6+'Model Coefficients'!$C$8*K6+'Model Coefficients'!$C$9*L6+'Model Coefficients'!$C$10*M6+'Model Coefficients'!$C$11*N6+'Model Coefficients'!$C$12*O6+'Model Coefficients'!$C$13*P6+'Model Coefficients'!$C$14*Q6</f>
        <v/>
      </c>
      <c r="S6" s="8">
        <f>1/(1+EXP(-R6))</f>
        <v/>
      </c>
      <c r="T6" s="6">
        <f>IF(S6&lt;0.15,"Low Risk",IF(S6&lt;0.35,"Medium Risk","High Risk"))</f>
        <v/>
      </c>
      <c r="U6" s="6" t="inlineStr">
        <is>
          <t>Repaid</t>
        </is>
      </c>
    </row>
    <row r="7">
      <c r="A7" s="6" t="inlineStr">
        <is>
          <t>MFI-0006</t>
        </is>
      </c>
      <c r="B7" s="6" t="n">
        <v>247.39</v>
      </c>
      <c r="C7" s="6" t="n">
        <v>12</v>
      </c>
      <c r="D7" s="6" t="n">
        <v>41</v>
      </c>
      <c r="E7" s="6" t="n">
        <v>115.75</v>
      </c>
      <c r="F7" s="6" t="n">
        <v>5</v>
      </c>
      <c r="G7" s="6" t="n">
        <v>2</v>
      </c>
      <c r="H7" s="6" t="n">
        <v>1</v>
      </c>
      <c r="I7" s="6" t="n">
        <v>1</v>
      </c>
      <c r="J7" s="7">
        <f>(B7-'Model Coefficients'!$C$18)/'Model Coefficients'!$D$18</f>
        <v/>
      </c>
      <c r="K7" s="7">
        <f>(C7-'Model Coefficients'!$C$19)/'Model Coefficients'!$D$19</f>
        <v/>
      </c>
      <c r="L7" s="7">
        <f>(D7-'Model Coefficients'!$C$20)/'Model Coefficients'!$D$20</f>
        <v/>
      </c>
      <c r="M7" s="7">
        <f>(E7-'Model Coefficients'!$C$21)/'Model Coefficients'!$D$21</f>
        <v/>
      </c>
      <c r="N7" s="7">
        <f>(F7-'Model Coefficients'!$C$22)/'Model Coefficients'!$D$22</f>
        <v/>
      </c>
      <c r="O7" s="7">
        <f>(G7-'Model Coefficients'!$C$23)/'Model Coefficients'!$D$23</f>
        <v/>
      </c>
      <c r="P7" s="7">
        <f>(H7-'Model Coefficients'!$C$24)/'Model Coefficients'!$D$24</f>
        <v/>
      </c>
      <c r="Q7" s="7">
        <f>(I7-'Model Coefficients'!$C$25)/'Model Coefficients'!$D$25</f>
        <v/>
      </c>
      <c r="R7" s="7">
        <f>'Model Coefficients'!$C$6+'Model Coefficients'!$C$7*J7+'Model Coefficients'!$C$8*K7+'Model Coefficients'!$C$9*L7+'Model Coefficients'!$C$10*M7+'Model Coefficients'!$C$11*N7+'Model Coefficients'!$C$12*O7+'Model Coefficients'!$C$13*P7+'Model Coefficients'!$C$14*Q7</f>
        <v/>
      </c>
      <c r="S7" s="8">
        <f>1/(1+EXP(-R7))</f>
        <v/>
      </c>
      <c r="T7" s="6">
        <f>IF(S7&lt;0.15,"Low Risk",IF(S7&lt;0.35,"Medium Risk","High Risk"))</f>
        <v/>
      </c>
      <c r="U7" s="6" t="inlineStr">
        <is>
          <t>Repaid</t>
        </is>
      </c>
    </row>
    <row r="8">
      <c r="A8" s="6" t="inlineStr">
        <is>
          <t>MFI-0007</t>
        </is>
      </c>
      <c r="B8" s="6" t="n">
        <v>278.54</v>
      </c>
      <c r="C8" s="6" t="n">
        <v>24</v>
      </c>
      <c r="D8" s="6" t="n">
        <v>21</v>
      </c>
      <c r="E8" s="6" t="n">
        <v>106.71</v>
      </c>
      <c r="F8" s="6" t="n">
        <v>1</v>
      </c>
      <c r="G8" s="6" t="n">
        <v>5</v>
      </c>
      <c r="H8" s="6" t="n">
        <v>1</v>
      </c>
      <c r="I8" s="6" t="n">
        <v>0</v>
      </c>
      <c r="J8" s="7">
        <f>(B8-'Model Coefficients'!$C$18)/'Model Coefficients'!$D$18</f>
        <v/>
      </c>
      <c r="K8" s="7">
        <f>(C8-'Model Coefficients'!$C$19)/'Model Coefficients'!$D$19</f>
        <v/>
      </c>
      <c r="L8" s="7">
        <f>(D8-'Model Coefficients'!$C$20)/'Model Coefficients'!$D$20</f>
        <v/>
      </c>
      <c r="M8" s="7">
        <f>(E8-'Model Coefficients'!$C$21)/'Model Coefficients'!$D$21</f>
        <v/>
      </c>
      <c r="N8" s="7">
        <f>(F8-'Model Coefficients'!$C$22)/'Model Coefficients'!$D$22</f>
        <v/>
      </c>
      <c r="O8" s="7">
        <f>(G8-'Model Coefficients'!$C$23)/'Model Coefficients'!$D$23</f>
        <v/>
      </c>
      <c r="P8" s="7">
        <f>(H8-'Model Coefficients'!$C$24)/'Model Coefficients'!$D$24</f>
        <v/>
      </c>
      <c r="Q8" s="7">
        <f>(I8-'Model Coefficients'!$C$25)/'Model Coefficients'!$D$25</f>
        <v/>
      </c>
      <c r="R8" s="7">
        <f>'Model Coefficients'!$C$6+'Model Coefficients'!$C$7*J8+'Model Coefficients'!$C$8*K8+'Model Coefficients'!$C$9*L8+'Model Coefficients'!$C$10*M8+'Model Coefficients'!$C$11*N8+'Model Coefficients'!$C$12*O8+'Model Coefficients'!$C$13*P8+'Model Coefficients'!$C$14*Q8</f>
        <v/>
      </c>
      <c r="S8" s="8">
        <f>1/(1+EXP(-R8))</f>
        <v/>
      </c>
      <c r="T8" s="6">
        <f>IF(S8&lt;0.15,"Low Risk",IF(S8&lt;0.35,"Medium Risk","High Risk"))</f>
        <v/>
      </c>
      <c r="U8" s="6" t="inlineStr">
        <is>
          <t>Repaid</t>
        </is>
      </c>
    </row>
    <row r="9">
      <c r="A9" s="6" t="inlineStr">
        <is>
          <t>MFI-0008</t>
        </is>
      </c>
      <c r="B9" s="6" t="n">
        <v>97.44</v>
      </c>
      <c r="C9" s="6" t="n">
        <v>12</v>
      </c>
      <c r="D9" s="6" t="n">
        <v>37</v>
      </c>
      <c r="E9" s="6" t="n">
        <v>97.72</v>
      </c>
      <c r="F9" s="6" t="n">
        <v>1</v>
      </c>
      <c r="G9" s="6" t="n">
        <v>3</v>
      </c>
      <c r="H9" s="6" t="n">
        <v>1</v>
      </c>
      <c r="I9" s="6" t="n">
        <v>0</v>
      </c>
      <c r="J9" s="7">
        <f>(B9-'Model Coefficients'!$C$18)/'Model Coefficients'!$D$18</f>
        <v/>
      </c>
      <c r="K9" s="7">
        <f>(C9-'Model Coefficients'!$C$19)/'Model Coefficients'!$D$19</f>
        <v/>
      </c>
      <c r="L9" s="7">
        <f>(D9-'Model Coefficients'!$C$20)/'Model Coefficients'!$D$20</f>
        <v/>
      </c>
      <c r="M9" s="7">
        <f>(E9-'Model Coefficients'!$C$21)/'Model Coefficients'!$D$21</f>
        <v/>
      </c>
      <c r="N9" s="7">
        <f>(F9-'Model Coefficients'!$C$22)/'Model Coefficients'!$D$22</f>
        <v/>
      </c>
      <c r="O9" s="7">
        <f>(G9-'Model Coefficients'!$C$23)/'Model Coefficients'!$D$23</f>
        <v/>
      </c>
      <c r="P9" s="7">
        <f>(H9-'Model Coefficients'!$C$24)/'Model Coefficients'!$D$24</f>
        <v/>
      </c>
      <c r="Q9" s="7">
        <f>(I9-'Model Coefficients'!$C$25)/'Model Coefficients'!$D$25</f>
        <v/>
      </c>
      <c r="R9" s="7">
        <f>'Model Coefficients'!$C$6+'Model Coefficients'!$C$7*J9+'Model Coefficients'!$C$8*K9+'Model Coefficients'!$C$9*L9+'Model Coefficients'!$C$10*M9+'Model Coefficients'!$C$11*N9+'Model Coefficients'!$C$12*O9+'Model Coefficients'!$C$13*P9+'Model Coefficients'!$C$14*Q9</f>
        <v/>
      </c>
      <c r="S9" s="8">
        <f>1/(1+EXP(-R9))</f>
        <v/>
      </c>
      <c r="T9" s="6">
        <f>IF(S9&lt;0.15,"Low Risk",IF(S9&lt;0.35,"Medium Risk","High Risk"))</f>
        <v/>
      </c>
      <c r="U9" s="6" t="inlineStr">
        <is>
          <t>Repaid</t>
        </is>
      </c>
    </row>
    <row r="10">
      <c r="A10" s="6" t="inlineStr">
        <is>
          <t>MFI-0009</t>
        </is>
      </c>
      <c r="B10" s="6" t="n">
        <v>249.53</v>
      </c>
      <c r="C10" s="6" t="n">
        <v>12</v>
      </c>
      <c r="D10" s="6" t="n">
        <v>37</v>
      </c>
      <c r="E10" s="6" t="n">
        <v>109.57</v>
      </c>
      <c r="F10" s="6" t="n">
        <v>4</v>
      </c>
      <c r="G10" s="6" t="n">
        <v>0</v>
      </c>
      <c r="H10" s="6" t="n">
        <v>1</v>
      </c>
      <c r="I10" s="6" t="n">
        <v>1</v>
      </c>
      <c r="J10" s="7">
        <f>(B10-'Model Coefficients'!$C$18)/'Model Coefficients'!$D$18</f>
        <v/>
      </c>
      <c r="K10" s="7">
        <f>(C10-'Model Coefficients'!$C$19)/'Model Coefficients'!$D$19</f>
        <v/>
      </c>
      <c r="L10" s="7">
        <f>(D10-'Model Coefficients'!$C$20)/'Model Coefficients'!$D$20</f>
        <v/>
      </c>
      <c r="M10" s="7">
        <f>(E10-'Model Coefficients'!$C$21)/'Model Coefficients'!$D$21</f>
        <v/>
      </c>
      <c r="N10" s="7">
        <f>(F10-'Model Coefficients'!$C$22)/'Model Coefficients'!$D$22</f>
        <v/>
      </c>
      <c r="O10" s="7">
        <f>(G10-'Model Coefficients'!$C$23)/'Model Coefficients'!$D$23</f>
        <v/>
      </c>
      <c r="P10" s="7">
        <f>(H10-'Model Coefficients'!$C$24)/'Model Coefficients'!$D$24</f>
        <v/>
      </c>
      <c r="Q10" s="7">
        <f>(I10-'Model Coefficients'!$C$25)/'Model Coefficients'!$D$25</f>
        <v/>
      </c>
      <c r="R10" s="7">
        <f>'Model Coefficients'!$C$6+'Model Coefficients'!$C$7*J10+'Model Coefficients'!$C$8*K10+'Model Coefficients'!$C$9*L10+'Model Coefficients'!$C$10*M10+'Model Coefficients'!$C$11*N10+'Model Coefficients'!$C$12*O10+'Model Coefficients'!$C$13*P10+'Model Coefficients'!$C$14*Q10</f>
        <v/>
      </c>
      <c r="S10" s="8">
        <f>1/(1+EXP(-R10))</f>
        <v/>
      </c>
      <c r="T10" s="6">
        <f>IF(S10&lt;0.15,"Low Risk",IF(S10&lt;0.35,"Medium Risk","High Risk"))</f>
        <v/>
      </c>
      <c r="U10" s="6" t="inlineStr">
        <is>
          <t>Defaulted</t>
        </is>
      </c>
    </row>
    <row r="11">
      <c r="A11" s="6" t="inlineStr">
        <is>
          <t>MFI-0010</t>
        </is>
      </c>
      <c r="B11" s="6" t="n">
        <v>269.17</v>
      </c>
      <c r="C11" s="6" t="n">
        <v>12</v>
      </c>
      <c r="D11" s="6" t="n">
        <v>34</v>
      </c>
      <c r="E11" s="6" t="n">
        <v>88.09</v>
      </c>
      <c r="F11" s="6" t="n">
        <v>4</v>
      </c>
      <c r="G11" s="6" t="n">
        <v>1</v>
      </c>
      <c r="H11" s="6" t="n">
        <v>1</v>
      </c>
      <c r="I11" s="6" t="n">
        <v>0</v>
      </c>
      <c r="J11" s="7">
        <f>(B11-'Model Coefficients'!$C$18)/'Model Coefficients'!$D$18</f>
        <v/>
      </c>
      <c r="K11" s="7">
        <f>(C11-'Model Coefficients'!$C$19)/'Model Coefficients'!$D$19</f>
        <v/>
      </c>
      <c r="L11" s="7">
        <f>(D11-'Model Coefficients'!$C$20)/'Model Coefficients'!$D$20</f>
        <v/>
      </c>
      <c r="M11" s="7">
        <f>(E11-'Model Coefficients'!$C$21)/'Model Coefficients'!$D$21</f>
        <v/>
      </c>
      <c r="N11" s="7">
        <f>(F11-'Model Coefficients'!$C$22)/'Model Coefficients'!$D$22</f>
        <v/>
      </c>
      <c r="O11" s="7">
        <f>(G11-'Model Coefficients'!$C$23)/'Model Coefficients'!$D$23</f>
        <v/>
      </c>
      <c r="P11" s="7">
        <f>(H11-'Model Coefficients'!$C$24)/'Model Coefficients'!$D$24</f>
        <v/>
      </c>
      <c r="Q11" s="7">
        <f>(I11-'Model Coefficients'!$C$25)/'Model Coefficients'!$D$25</f>
        <v/>
      </c>
      <c r="R11" s="7">
        <f>'Model Coefficients'!$C$6+'Model Coefficients'!$C$7*J11+'Model Coefficients'!$C$8*K11+'Model Coefficients'!$C$9*L11+'Model Coefficients'!$C$10*M11+'Model Coefficients'!$C$11*N11+'Model Coefficients'!$C$12*O11+'Model Coefficients'!$C$13*P11+'Model Coefficients'!$C$14*Q11</f>
        <v/>
      </c>
      <c r="S11" s="8">
        <f>1/(1+EXP(-R11))</f>
        <v/>
      </c>
      <c r="T11" s="6">
        <f>IF(S11&lt;0.15,"Low Risk",IF(S11&lt;0.35,"Medium Risk","High Risk"))</f>
        <v/>
      </c>
      <c r="U11" s="6" t="inlineStr">
        <is>
          <t>Defaulted</t>
        </is>
      </c>
    </row>
    <row r="12">
      <c r="A12" s="6" t="inlineStr">
        <is>
          <t>MFI-0011</t>
        </is>
      </c>
      <c r="B12" s="6" t="n">
        <v>163.63</v>
      </c>
      <c r="C12" s="6" t="n">
        <v>6</v>
      </c>
      <c r="D12" s="6" t="n">
        <v>31</v>
      </c>
      <c r="E12" s="6" t="n">
        <v>114.28</v>
      </c>
      <c r="F12" s="6" t="n">
        <v>0</v>
      </c>
      <c r="G12" s="6" t="n">
        <v>1</v>
      </c>
      <c r="H12" s="6" t="n">
        <v>1</v>
      </c>
      <c r="I12" s="6" t="n">
        <v>1</v>
      </c>
      <c r="J12" s="7">
        <f>(B12-'Model Coefficients'!$C$18)/'Model Coefficients'!$D$18</f>
        <v/>
      </c>
      <c r="K12" s="7">
        <f>(C12-'Model Coefficients'!$C$19)/'Model Coefficients'!$D$19</f>
        <v/>
      </c>
      <c r="L12" s="7">
        <f>(D12-'Model Coefficients'!$C$20)/'Model Coefficients'!$D$20</f>
        <v/>
      </c>
      <c r="M12" s="7">
        <f>(E12-'Model Coefficients'!$C$21)/'Model Coefficients'!$D$21</f>
        <v/>
      </c>
      <c r="N12" s="7">
        <f>(F12-'Model Coefficients'!$C$22)/'Model Coefficients'!$D$22</f>
        <v/>
      </c>
      <c r="O12" s="7">
        <f>(G12-'Model Coefficients'!$C$23)/'Model Coefficients'!$D$23</f>
        <v/>
      </c>
      <c r="P12" s="7">
        <f>(H12-'Model Coefficients'!$C$24)/'Model Coefficients'!$D$24</f>
        <v/>
      </c>
      <c r="Q12" s="7">
        <f>(I12-'Model Coefficients'!$C$25)/'Model Coefficients'!$D$25</f>
        <v/>
      </c>
      <c r="R12" s="7">
        <f>'Model Coefficients'!$C$6+'Model Coefficients'!$C$7*J12+'Model Coefficients'!$C$8*K12+'Model Coefficients'!$C$9*L12+'Model Coefficients'!$C$10*M12+'Model Coefficients'!$C$11*N12+'Model Coefficients'!$C$12*O12+'Model Coefficients'!$C$13*P12+'Model Coefficients'!$C$14*Q12</f>
        <v/>
      </c>
      <c r="S12" s="8">
        <f>1/(1+EXP(-R12))</f>
        <v/>
      </c>
      <c r="T12" s="6">
        <f>IF(S12&lt;0.15,"Low Risk",IF(S12&lt;0.35,"Medium Risk","High Risk"))</f>
        <v/>
      </c>
      <c r="U12" s="6" t="inlineStr">
        <is>
          <t>Repaid</t>
        </is>
      </c>
    </row>
    <row r="13">
      <c r="A13" s="6" t="inlineStr">
        <is>
          <t>MFI-0012</t>
        </is>
      </c>
      <c r="B13" s="6" t="n">
        <v>88.59</v>
      </c>
      <c r="C13" s="6" t="n">
        <v>6</v>
      </c>
      <c r="D13" s="6" t="n">
        <v>41</v>
      </c>
      <c r="E13" s="6" t="n">
        <v>68.92</v>
      </c>
      <c r="F13" s="6" t="n">
        <v>0</v>
      </c>
      <c r="G13" s="6" t="n">
        <v>1</v>
      </c>
      <c r="H13" s="6" t="n">
        <v>1</v>
      </c>
      <c r="I13" s="6" t="n">
        <v>1</v>
      </c>
      <c r="J13" s="7">
        <f>(B13-'Model Coefficients'!$C$18)/'Model Coefficients'!$D$18</f>
        <v/>
      </c>
      <c r="K13" s="7">
        <f>(C13-'Model Coefficients'!$C$19)/'Model Coefficients'!$D$19</f>
        <v/>
      </c>
      <c r="L13" s="7">
        <f>(D13-'Model Coefficients'!$C$20)/'Model Coefficients'!$D$20</f>
        <v/>
      </c>
      <c r="M13" s="7">
        <f>(E13-'Model Coefficients'!$C$21)/'Model Coefficients'!$D$21</f>
        <v/>
      </c>
      <c r="N13" s="7">
        <f>(F13-'Model Coefficients'!$C$22)/'Model Coefficients'!$D$22</f>
        <v/>
      </c>
      <c r="O13" s="7">
        <f>(G13-'Model Coefficients'!$C$23)/'Model Coefficients'!$D$23</f>
        <v/>
      </c>
      <c r="P13" s="7">
        <f>(H13-'Model Coefficients'!$C$24)/'Model Coefficients'!$D$24</f>
        <v/>
      </c>
      <c r="Q13" s="7">
        <f>(I13-'Model Coefficients'!$C$25)/'Model Coefficients'!$D$25</f>
        <v/>
      </c>
      <c r="R13" s="7">
        <f>'Model Coefficients'!$C$6+'Model Coefficients'!$C$7*J13+'Model Coefficients'!$C$8*K13+'Model Coefficients'!$C$9*L13+'Model Coefficients'!$C$10*M13+'Model Coefficients'!$C$11*N13+'Model Coefficients'!$C$12*O13+'Model Coefficients'!$C$13*P13+'Model Coefficients'!$C$14*Q13</f>
        <v/>
      </c>
      <c r="S13" s="8">
        <f>1/(1+EXP(-R13))</f>
        <v/>
      </c>
      <c r="T13" s="6">
        <f>IF(S13&lt;0.15,"Low Risk",IF(S13&lt;0.35,"Medium Risk","High Risk"))</f>
        <v/>
      </c>
      <c r="U13" s="6" t="inlineStr">
        <is>
          <t>Repaid</t>
        </is>
      </c>
    </row>
    <row r="14">
      <c r="A14" s="6" t="inlineStr">
        <is>
          <t>MFI-0013</t>
        </is>
      </c>
      <c r="B14" s="6" t="n">
        <v>250.79</v>
      </c>
      <c r="C14" s="6" t="n">
        <v>6</v>
      </c>
      <c r="D14" s="6" t="n">
        <v>38</v>
      </c>
      <c r="E14" s="6" t="n">
        <v>24.56</v>
      </c>
      <c r="F14" s="6" t="n">
        <v>0</v>
      </c>
      <c r="G14" s="6" t="n">
        <v>1</v>
      </c>
      <c r="H14" s="6" t="n">
        <v>1</v>
      </c>
      <c r="I14" s="6" t="n">
        <v>0</v>
      </c>
      <c r="J14" s="7">
        <f>(B14-'Model Coefficients'!$C$18)/'Model Coefficients'!$D$18</f>
        <v/>
      </c>
      <c r="K14" s="7">
        <f>(C14-'Model Coefficients'!$C$19)/'Model Coefficients'!$D$19</f>
        <v/>
      </c>
      <c r="L14" s="7">
        <f>(D14-'Model Coefficients'!$C$20)/'Model Coefficients'!$D$20</f>
        <v/>
      </c>
      <c r="M14" s="7">
        <f>(E14-'Model Coefficients'!$C$21)/'Model Coefficients'!$D$21</f>
        <v/>
      </c>
      <c r="N14" s="7">
        <f>(F14-'Model Coefficients'!$C$22)/'Model Coefficients'!$D$22</f>
        <v/>
      </c>
      <c r="O14" s="7">
        <f>(G14-'Model Coefficients'!$C$23)/'Model Coefficients'!$D$23</f>
        <v/>
      </c>
      <c r="P14" s="7">
        <f>(H14-'Model Coefficients'!$C$24)/'Model Coefficients'!$D$24</f>
        <v/>
      </c>
      <c r="Q14" s="7">
        <f>(I14-'Model Coefficients'!$C$25)/'Model Coefficients'!$D$25</f>
        <v/>
      </c>
      <c r="R14" s="7">
        <f>'Model Coefficients'!$C$6+'Model Coefficients'!$C$7*J14+'Model Coefficients'!$C$8*K14+'Model Coefficients'!$C$9*L14+'Model Coefficients'!$C$10*M14+'Model Coefficients'!$C$11*N14+'Model Coefficients'!$C$12*O14+'Model Coefficients'!$C$13*P14+'Model Coefficients'!$C$14*Q14</f>
        <v/>
      </c>
      <c r="S14" s="8">
        <f>1/(1+EXP(-R14))</f>
        <v/>
      </c>
      <c r="T14" s="6">
        <f>IF(S14&lt;0.15,"Low Risk",IF(S14&lt;0.35,"Medium Risk","High Risk"))</f>
        <v/>
      </c>
      <c r="U14" s="6" t="inlineStr">
        <is>
          <t>Repaid</t>
        </is>
      </c>
    </row>
    <row r="15">
      <c r="A15" s="6" t="inlineStr">
        <is>
          <t>MFI-0014</t>
        </is>
      </c>
      <c r="B15" s="6" t="n">
        <v>79.84999999999999</v>
      </c>
      <c r="C15" s="6" t="n">
        <v>12</v>
      </c>
      <c r="D15" s="6" t="n">
        <v>35</v>
      </c>
      <c r="E15" s="6" t="n">
        <v>91.59999999999999</v>
      </c>
      <c r="F15" s="6" t="n">
        <v>2</v>
      </c>
      <c r="G15" s="6" t="n">
        <v>5</v>
      </c>
      <c r="H15" s="6" t="n">
        <v>1</v>
      </c>
      <c r="I15" s="6" t="n">
        <v>0</v>
      </c>
      <c r="J15" s="7">
        <f>(B15-'Model Coefficients'!$C$18)/'Model Coefficients'!$D$18</f>
        <v/>
      </c>
      <c r="K15" s="7">
        <f>(C15-'Model Coefficients'!$C$19)/'Model Coefficients'!$D$19</f>
        <v/>
      </c>
      <c r="L15" s="7">
        <f>(D15-'Model Coefficients'!$C$20)/'Model Coefficients'!$D$20</f>
        <v/>
      </c>
      <c r="M15" s="7">
        <f>(E15-'Model Coefficients'!$C$21)/'Model Coefficients'!$D$21</f>
        <v/>
      </c>
      <c r="N15" s="7">
        <f>(F15-'Model Coefficients'!$C$22)/'Model Coefficients'!$D$22</f>
        <v/>
      </c>
      <c r="O15" s="7">
        <f>(G15-'Model Coefficients'!$C$23)/'Model Coefficients'!$D$23</f>
        <v/>
      </c>
      <c r="P15" s="7">
        <f>(H15-'Model Coefficients'!$C$24)/'Model Coefficients'!$D$24</f>
        <v/>
      </c>
      <c r="Q15" s="7">
        <f>(I15-'Model Coefficients'!$C$25)/'Model Coefficients'!$D$25</f>
        <v/>
      </c>
      <c r="R15" s="7">
        <f>'Model Coefficients'!$C$6+'Model Coefficients'!$C$7*J15+'Model Coefficients'!$C$8*K15+'Model Coefficients'!$C$9*L15+'Model Coefficients'!$C$10*M15+'Model Coefficients'!$C$11*N15+'Model Coefficients'!$C$12*O15+'Model Coefficients'!$C$13*P15+'Model Coefficients'!$C$14*Q15</f>
        <v/>
      </c>
      <c r="S15" s="8">
        <f>1/(1+EXP(-R15))</f>
        <v/>
      </c>
      <c r="T15" s="6">
        <f>IF(S15&lt;0.15,"Low Risk",IF(S15&lt;0.35,"Medium Risk","High Risk"))</f>
        <v/>
      </c>
      <c r="U15" s="6" t="inlineStr">
        <is>
          <t>Repaid</t>
        </is>
      </c>
    </row>
    <row r="16">
      <c r="A16" s="6" t="inlineStr">
        <is>
          <t>MFI-0015</t>
        </is>
      </c>
      <c r="B16" s="6" t="n">
        <v>227.61</v>
      </c>
      <c r="C16" s="6" t="n">
        <v>24</v>
      </c>
      <c r="D16" s="6" t="n">
        <v>59</v>
      </c>
      <c r="E16" s="6" t="n">
        <v>114.59</v>
      </c>
      <c r="F16" s="6" t="n">
        <v>3</v>
      </c>
      <c r="G16" s="6" t="n">
        <v>3</v>
      </c>
      <c r="H16" s="6" t="n">
        <v>0</v>
      </c>
      <c r="I16" s="6" t="n">
        <v>0</v>
      </c>
      <c r="J16" s="7">
        <f>(B16-'Model Coefficients'!$C$18)/'Model Coefficients'!$D$18</f>
        <v/>
      </c>
      <c r="K16" s="7">
        <f>(C16-'Model Coefficients'!$C$19)/'Model Coefficients'!$D$19</f>
        <v/>
      </c>
      <c r="L16" s="7">
        <f>(D16-'Model Coefficients'!$C$20)/'Model Coefficients'!$D$20</f>
        <v/>
      </c>
      <c r="M16" s="7">
        <f>(E16-'Model Coefficients'!$C$21)/'Model Coefficients'!$D$21</f>
        <v/>
      </c>
      <c r="N16" s="7">
        <f>(F16-'Model Coefficients'!$C$22)/'Model Coefficients'!$D$22</f>
        <v/>
      </c>
      <c r="O16" s="7">
        <f>(G16-'Model Coefficients'!$C$23)/'Model Coefficients'!$D$23</f>
        <v/>
      </c>
      <c r="P16" s="7">
        <f>(H16-'Model Coefficients'!$C$24)/'Model Coefficients'!$D$24</f>
        <v/>
      </c>
      <c r="Q16" s="7">
        <f>(I16-'Model Coefficients'!$C$25)/'Model Coefficients'!$D$25</f>
        <v/>
      </c>
      <c r="R16" s="7">
        <f>'Model Coefficients'!$C$6+'Model Coefficients'!$C$7*J16+'Model Coefficients'!$C$8*K16+'Model Coefficients'!$C$9*L16+'Model Coefficients'!$C$10*M16+'Model Coefficients'!$C$11*N16+'Model Coefficients'!$C$12*O16+'Model Coefficients'!$C$13*P16+'Model Coefficients'!$C$14*Q16</f>
        <v/>
      </c>
      <c r="S16" s="8">
        <f>1/(1+EXP(-R16))</f>
        <v/>
      </c>
      <c r="T16" s="6">
        <f>IF(S16&lt;0.15,"Low Risk",IF(S16&lt;0.35,"Medium Risk","High Risk"))</f>
        <v/>
      </c>
      <c r="U16" s="6" t="inlineStr">
        <is>
          <t>Repaid</t>
        </is>
      </c>
    </row>
    <row r="17">
      <c r="A17" s="6" t="inlineStr">
        <is>
          <t>MFI-0016</t>
        </is>
      </c>
      <c r="B17" s="6" t="n">
        <v>196.38</v>
      </c>
      <c r="C17" s="6" t="n">
        <v>24</v>
      </c>
      <c r="D17" s="6" t="n">
        <v>51</v>
      </c>
      <c r="E17" s="6" t="n">
        <v>18.26</v>
      </c>
      <c r="F17" s="6" t="n">
        <v>4</v>
      </c>
      <c r="G17" s="6" t="n">
        <v>1</v>
      </c>
      <c r="H17" s="6" t="n">
        <v>1</v>
      </c>
      <c r="I17" s="6" t="n">
        <v>1</v>
      </c>
      <c r="J17" s="7">
        <f>(B17-'Model Coefficients'!$C$18)/'Model Coefficients'!$D$18</f>
        <v/>
      </c>
      <c r="K17" s="7">
        <f>(C17-'Model Coefficients'!$C$19)/'Model Coefficients'!$D$19</f>
        <v/>
      </c>
      <c r="L17" s="7">
        <f>(D17-'Model Coefficients'!$C$20)/'Model Coefficients'!$D$20</f>
        <v/>
      </c>
      <c r="M17" s="7">
        <f>(E17-'Model Coefficients'!$C$21)/'Model Coefficients'!$D$21</f>
        <v/>
      </c>
      <c r="N17" s="7">
        <f>(F17-'Model Coefficients'!$C$22)/'Model Coefficients'!$D$22</f>
        <v/>
      </c>
      <c r="O17" s="7">
        <f>(G17-'Model Coefficients'!$C$23)/'Model Coefficients'!$D$23</f>
        <v/>
      </c>
      <c r="P17" s="7">
        <f>(H17-'Model Coefficients'!$C$24)/'Model Coefficients'!$D$24</f>
        <v/>
      </c>
      <c r="Q17" s="7">
        <f>(I17-'Model Coefficients'!$C$25)/'Model Coefficients'!$D$25</f>
        <v/>
      </c>
      <c r="R17" s="7">
        <f>'Model Coefficients'!$C$6+'Model Coefficients'!$C$7*J17+'Model Coefficients'!$C$8*K17+'Model Coefficients'!$C$9*L17+'Model Coefficients'!$C$10*M17+'Model Coefficients'!$C$11*N17+'Model Coefficients'!$C$12*O17+'Model Coefficients'!$C$13*P17+'Model Coefficients'!$C$14*Q17</f>
        <v/>
      </c>
      <c r="S17" s="8">
        <f>1/(1+EXP(-R17))</f>
        <v/>
      </c>
      <c r="T17" s="6">
        <f>IF(S17&lt;0.15,"Low Risk",IF(S17&lt;0.35,"Medium Risk","High Risk"))</f>
        <v/>
      </c>
      <c r="U17" s="6" t="inlineStr">
        <is>
          <t>Defaulted</t>
        </is>
      </c>
    </row>
    <row r="18">
      <c r="A18" s="6" t="inlineStr">
        <is>
          <t>MFI-0017</t>
        </is>
      </c>
      <c r="B18" s="6" t="n">
        <v>279.67</v>
      </c>
      <c r="C18" s="6" t="n">
        <v>24</v>
      </c>
      <c r="D18" s="6" t="n">
        <v>25</v>
      </c>
      <c r="E18" s="6" t="n">
        <v>80.31999999999999</v>
      </c>
      <c r="F18" s="6" t="n">
        <v>0</v>
      </c>
      <c r="G18" s="6" t="n">
        <v>3</v>
      </c>
      <c r="H18" s="6" t="n">
        <v>1</v>
      </c>
      <c r="I18" s="6" t="n">
        <v>1</v>
      </c>
      <c r="J18" s="7">
        <f>(B18-'Model Coefficients'!$C$18)/'Model Coefficients'!$D$18</f>
        <v/>
      </c>
      <c r="K18" s="7">
        <f>(C18-'Model Coefficients'!$C$19)/'Model Coefficients'!$D$19</f>
        <v/>
      </c>
      <c r="L18" s="7">
        <f>(D18-'Model Coefficients'!$C$20)/'Model Coefficients'!$D$20</f>
        <v/>
      </c>
      <c r="M18" s="7">
        <f>(E18-'Model Coefficients'!$C$21)/'Model Coefficients'!$D$21</f>
        <v/>
      </c>
      <c r="N18" s="7">
        <f>(F18-'Model Coefficients'!$C$22)/'Model Coefficients'!$D$22</f>
        <v/>
      </c>
      <c r="O18" s="7">
        <f>(G18-'Model Coefficients'!$C$23)/'Model Coefficients'!$D$23</f>
        <v/>
      </c>
      <c r="P18" s="7">
        <f>(H18-'Model Coefficients'!$C$24)/'Model Coefficients'!$D$24</f>
        <v/>
      </c>
      <c r="Q18" s="7">
        <f>(I18-'Model Coefficients'!$C$25)/'Model Coefficients'!$D$25</f>
        <v/>
      </c>
      <c r="R18" s="7">
        <f>'Model Coefficients'!$C$6+'Model Coefficients'!$C$7*J18+'Model Coefficients'!$C$8*K18+'Model Coefficients'!$C$9*L18+'Model Coefficients'!$C$10*M18+'Model Coefficients'!$C$11*N18+'Model Coefficients'!$C$12*O18+'Model Coefficients'!$C$13*P18+'Model Coefficients'!$C$14*Q18</f>
        <v/>
      </c>
      <c r="S18" s="8">
        <f>1/(1+EXP(-R18))</f>
        <v/>
      </c>
      <c r="T18" s="6">
        <f>IF(S18&lt;0.15,"Low Risk",IF(S18&lt;0.35,"Medium Risk","High Risk"))</f>
        <v/>
      </c>
      <c r="U18" s="6" t="inlineStr">
        <is>
          <t>Repaid</t>
        </is>
      </c>
    </row>
    <row r="19">
      <c r="A19" s="6" t="inlineStr">
        <is>
          <t>MFI-0018</t>
        </is>
      </c>
      <c r="B19" s="6" t="n">
        <v>84.93000000000001</v>
      </c>
      <c r="C19" s="6" t="n">
        <v>24</v>
      </c>
      <c r="D19" s="6" t="n">
        <v>26</v>
      </c>
      <c r="E19" s="6" t="n">
        <v>47</v>
      </c>
      <c r="F19" s="6" t="n">
        <v>1</v>
      </c>
      <c r="G19" s="6" t="n">
        <v>2</v>
      </c>
      <c r="H19" s="6" t="n">
        <v>1</v>
      </c>
      <c r="I19" s="6" t="n">
        <v>1</v>
      </c>
      <c r="J19" s="7">
        <f>(B19-'Model Coefficients'!$C$18)/'Model Coefficients'!$D$18</f>
        <v/>
      </c>
      <c r="K19" s="7">
        <f>(C19-'Model Coefficients'!$C$19)/'Model Coefficients'!$D$19</f>
        <v/>
      </c>
      <c r="L19" s="7">
        <f>(D19-'Model Coefficients'!$C$20)/'Model Coefficients'!$D$20</f>
        <v/>
      </c>
      <c r="M19" s="7">
        <f>(E19-'Model Coefficients'!$C$21)/'Model Coefficients'!$D$21</f>
        <v/>
      </c>
      <c r="N19" s="7">
        <f>(F19-'Model Coefficients'!$C$22)/'Model Coefficients'!$D$22</f>
        <v/>
      </c>
      <c r="O19" s="7">
        <f>(G19-'Model Coefficients'!$C$23)/'Model Coefficients'!$D$23</f>
        <v/>
      </c>
      <c r="P19" s="7">
        <f>(H19-'Model Coefficients'!$C$24)/'Model Coefficients'!$D$24</f>
        <v/>
      </c>
      <c r="Q19" s="7">
        <f>(I19-'Model Coefficients'!$C$25)/'Model Coefficients'!$D$25</f>
        <v/>
      </c>
      <c r="R19" s="7">
        <f>'Model Coefficients'!$C$6+'Model Coefficients'!$C$7*J19+'Model Coefficients'!$C$8*K19+'Model Coefficients'!$C$9*L19+'Model Coefficients'!$C$10*M19+'Model Coefficients'!$C$11*N19+'Model Coefficients'!$C$12*O19+'Model Coefficients'!$C$13*P19+'Model Coefficients'!$C$14*Q19</f>
        <v/>
      </c>
      <c r="S19" s="8">
        <f>1/(1+EXP(-R19))</f>
        <v/>
      </c>
      <c r="T19" s="6">
        <f>IF(S19&lt;0.15,"Low Risk",IF(S19&lt;0.35,"Medium Risk","High Risk"))</f>
        <v/>
      </c>
      <c r="U19" s="6" t="inlineStr">
        <is>
          <t>Repaid</t>
        </is>
      </c>
    </row>
    <row r="20">
      <c r="A20" s="6" t="inlineStr">
        <is>
          <t>MFI-0019</t>
        </is>
      </c>
      <c r="B20" s="6" t="n">
        <v>243.76</v>
      </c>
      <c r="C20" s="6" t="n">
        <v>12</v>
      </c>
      <c r="D20" s="6" t="n">
        <v>31</v>
      </c>
      <c r="E20" s="6" t="n">
        <v>57.44</v>
      </c>
      <c r="F20" s="6" t="n">
        <v>5</v>
      </c>
      <c r="G20" s="6" t="n">
        <v>1</v>
      </c>
      <c r="H20" s="6" t="n">
        <v>0</v>
      </c>
      <c r="I20" s="6" t="n">
        <v>0</v>
      </c>
      <c r="J20" s="7">
        <f>(B20-'Model Coefficients'!$C$18)/'Model Coefficients'!$D$18</f>
        <v/>
      </c>
      <c r="K20" s="7">
        <f>(C20-'Model Coefficients'!$C$19)/'Model Coefficients'!$D$19</f>
        <v/>
      </c>
      <c r="L20" s="7">
        <f>(D20-'Model Coefficients'!$C$20)/'Model Coefficients'!$D$20</f>
        <v/>
      </c>
      <c r="M20" s="7">
        <f>(E20-'Model Coefficients'!$C$21)/'Model Coefficients'!$D$21</f>
        <v/>
      </c>
      <c r="N20" s="7">
        <f>(F20-'Model Coefficients'!$C$22)/'Model Coefficients'!$D$22</f>
        <v/>
      </c>
      <c r="O20" s="7">
        <f>(G20-'Model Coefficients'!$C$23)/'Model Coefficients'!$D$23</f>
        <v/>
      </c>
      <c r="P20" s="7">
        <f>(H20-'Model Coefficients'!$C$24)/'Model Coefficients'!$D$24</f>
        <v/>
      </c>
      <c r="Q20" s="7">
        <f>(I20-'Model Coefficients'!$C$25)/'Model Coefficients'!$D$25</f>
        <v/>
      </c>
      <c r="R20" s="7">
        <f>'Model Coefficients'!$C$6+'Model Coefficients'!$C$7*J20+'Model Coefficients'!$C$8*K20+'Model Coefficients'!$C$9*L20+'Model Coefficients'!$C$10*M20+'Model Coefficients'!$C$11*N20+'Model Coefficients'!$C$12*O20+'Model Coefficients'!$C$13*P20+'Model Coefficients'!$C$14*Q20</f>
        <v/>
      </c>
      <c r="S20" s="8">
        <f>1/(1+EXP(-R20))</f>
        <v/>
      </c>
      <c r="T20" s="6">
        <f>IF(S20&lt;0.15,"Low Risk",IF(S20&lt;0.35,"Medium Risk","High Risk"))</f>
        <v/>
      </c>
      <c r="U20" s="6" t="inlineStr">
        <is>
          <t>Defaulted</t>
        </is>
      </c>
    </row>
    <row r="21">
      <c r="A21" s="6" t="inlineStr">
        <is>
          <t>MFI-0020</t>
        </is>
      </c>
      <c r="B21" s="6" t="n">
        <v>165.09</v>
      </c>
      <c r="C21" s="6" t="n">
        <v>12</v>
      </c>
      <c r="D21" s="6" t="n">
        <v>48</v>
      </c>
      <c r="E21" s="6" t="n">
        <v>111.4</v>
      </c>
      <c r="F21" s="6" t="n">
        <v>2</v>
      </c>
      <c r="G21" s="6" t="n">
        <v>2</v>
      </c>
      <c r="H21" s="6" t="n">
        <v>1</v>
      </c>
      <c r="I21" s="6" t="n">
        <v>1</v>
      </c>
      <c r="J21" s="7">
        <f>(B21-'Model Coefficients'!$C$18)/'Model Coefficients'!$D$18</f>
        <v/>
      </c>
      <c r="K21" s="7">
        <f>(C21-'Model Coefficients'!$C$19)/'Model Coefficients'!$D$19</f>
        <v/>
      </c>
      <c r="L21" s="7">
        <f>(D21-'Model Coefficients'!$C$20)/'Model Coefficients'!$D$20</f>
        <v/>
      </c>
      <c r="M21" s="7">
        <f>(E21-'Model Coefficients'!$C$21)/'Model Coefficients'!$D$21</f>
        <v/>
      </c>
      <c r="N21" s="7">
        <f>(F21-'Model Coefficients'!$C$22)/'Model Coefficients'!$D$22</f>
        <v/>
      </c>
      <c r="O21" s="7">
        <f>(G21-'Model Coefficients'!$C$23)/'Model Coefficients'!$D$23</f>
        <v/>
      </c>
      <c r="P21" s="7">
        <f>(H21-'Model Coefficients'!$C$24)/'Model Coefficients'!$D$24</f>
        <v/>
      </c>
      <c r="Q21" s="7">
        <f>(I21-'Model Coefficients'!$C$25)/'Model Coefficients'!$D$25</f>
        <v/>
      </c>
      <c r="R21" s="7">
        <f>'Model Coefficients'!$C$6+'Model Coefficients'!$C$7*J21+'Model Coefficients'!$C$8*K21+'Model Coefficients'!$C$9*L21+'Model Coefficients'!$C$10*M21+'Model Coefficients'!$C$11*N21+'Model Coefficients'!$C$12*O21+'Model Coefficients'!$C$13*P21+'Model Coefficients'!$C$14*Q21</f>
        <v/>
      </c>
      <c r="S21" s="8">
        <f>1/(1+EXP(-R21))</f>
        <v/>
      </c>
      <c r="T21" s="6">
        <f>IF(S21&lt;0.15,"Low Risk",IF(S21&lt;0.35,"Medium Risk","High Risk"))</f>
        <v/>
      </c>
      <c r="U21" s="6" t="inlineStr">
        <is>
          <t>Repaid</t>
        </is>
      </c>
    </row>
    <row r="22">
      <c r="A22" s="6" t="inlineStr">
        <is>
          <t>MFI-0021</t>
        </is>
      </c>
      <c r="B22" s="6" t="n">
        <v>84.84</v>
      </c>
      <c r="C22" s="6" t="n">
        <v>6</v>
      </c>
      <c r="D22" s="6" t="n">
        <v>28</v>
      </c>
      <c r="E22" s="6" t="n">
        <v>50.11</v>
      </c>
      <c r="F22" s="6" t="n">
        <v>0</v>
      </c>
      <c r="G22" s="6" t="n">
        <v>5</v>
      </c>
      <c r="H22" s="6" t="n">
        <v>1</v>
      </c>
      <c r="I22" s="6" t="n">
        <v>1</v>
      </c>
      <c r="J22" s="7">
        <f>(B22-'Model Coefficients'!$C$18)/'Model Coefficients'!$D$18</f>
        <v/>
      </c>
      <c r="K22" s="7">
        <f>(C22-'Model Coefficients'!$C$19)/'Model Coefficients'!$D$19</f>
        <v/>
      </c>
      <c r="L22" s="7">
        <f>(D22-'Model Coefficients'!$C$20)/'Model Coefficients'!$D$20</f>
        <v/>
      </c>
      <c r="M22" s="7">
        <f>(E22-'Model Coefficients'!$C$21)/'Model Coefficients'!$D$21</f>
        <v/>
      </c>
      <c r="N22" s="7">
        <f>(F22-'Model Coefficients'!$C$22)/'Model Coefficients'!$D$22</f>
        <v/>
      </c>
      <c r="O22" s="7">
        <f>(G22-'Model Coefficients'!$C$23)/'Model Coefficients'!$D$23</f>
        <v/>
      </c>
      <c r="P22" s="7">
        <f>(H22-'Model Coefficients'!$C$24)/'Model Coefficients'!$D$24</f>
        <v/>
      </c>
      <c r="Q22" s="7">
        <f>(I22-'Model Coefficients'!$C$25)/'Model Coefficients'!$D$25</f>
        <v/>
      </c>
      <c r="R22" s="7">
        <f>'Model Coefficients'!$C$6+'Model Coefficients'!$C$7*J22+'Model Coefficients'!$C$8*K22+'Model Coefficients'!$C$9*L22+'Model Coefficients'!$C$10*M22+'Model Coefficients'!$C$11*N22+'Model Coefficients'!$C$12*O22+'Model Coefficients'!$C$13*P22+'Model Coefficients'!$C$14*Q22</f>
        <v/>
      </c>
      <c r="S22" s="8">
        <f>1/(1+EXP(-R22))</f>
        <v/>
      </c>
      <c r="T22" s="6">
        <f>IF(S22&lt;0.15,"Low Risk",IF(S22&lt;0.35,"Medium Risk","High Risk"))</f>
        <v/>
      </c>
      <c r="U22" s="6" t="inlineStr">
        <is>
          <t>Repaid</t>
        </is>
      </c>
    </row>
    <row r="23">
      <c r="A23" s="6" t="inlineStr">
        <is>
          <t>MFI-0022</t>
        </is>
      </c>
      <c r="B23" s="6" t="n">
        <v>66.45</v>
      </c>
      <c r="C23" s="6" t="n">
        <v>12</v>
      </c>
      <c r="D23" s="6" t="n">
        <v>28</v>
      </c>
      <c r="E23" s="6" t="n">
        <v>80.70999999999999</v>
      </c>
      <c r="F23" s="6" t="n">
        <v>0</v>
      </c>
      <c r="G23" s="6" t="n">
        <v>5</v>
      </c>
      <c r="H23" s="6" t="n">
        <v>1</v>
      </c>
      <c r="I23" s="6" t="n">
        <v>1</v>
      </c>
      <c r="J23" s="7">
        <f>(B23-'Model Coefficients'!$C$18)/'Model Coefficients'!$D$18</f>
        <v/>
      </c>
      <c r="K23" s="7">
        <f>(C23-'Model Coefficients'!$C$19)/'Model Coefficients'!$D$19</f>
        <v/>
      </c>
      <c r="L23" s="7">
        <f>(D23-'Model Coefficients'!$C$20)/'Model Coefficients'!$D$20</f>
        <v/>
      </c>
      <c r="M23" s="7">
        <f>(E23-'Model Coefficients'!$C$21)/'Model Coefficients'!$D$21</f>
        <v/>
      </c>
      <c r="N23" s="7">
        <f>(F23-'Model Coefficients'!$C$22)/'Model Coefficients'!$D$22</f>
        <v/>
      </c>
      <c r="O23" s="7">
        <f>(G23-'Model Coefficients'!$C$23)/'Model Coefficients'!$D$23</f>
        <v/>
      </c>
      <c r="P23" s="7">
        <f>(H23-'Model Coefficients'!$C$24)/'Model Coefficients'!$D$24</f>
        <v/>
      </c>
      <c r="Q23" s="7">
        <f>(I23-'Model Coefficients'!$C$25)/'Model Coefficients'!$D$25</f>
        <v/>
      </c>
      <c r="R23" s="7">
        <f>'Model Coefficients'!$C$6+'Model Coefficients'!$C$7*J23+'Model Coefficients'!$C$8*K23+'Model Coefficients'!$C$9*L23+'Model Coefficients'!$C$10*M23+'Model Coefficients'!$C$11*N23+'Model Coefficients'!$C$12*O23+'Model Coefficients'!$C$13*P23+'Model Coefficients'!$C$14*Q23</f>
        <v/>
      </c>
      <c r="S23" s="8">
        <f>1/(1+EXP(-R23))</f>
        <v/>
      </c>
      <c r="T23" s="6">
        <f>IF(S23&lt;0.15,"Low Risk",IF(S23&lt;0.35,"Medium Risk","High Risk"))</f>
        <v/>
      </c>
      <c r="U23" s="6" t="inlineStr">
        <is>
          <t>Repaid</t>
        </is>
      </c>
    </row>
    <row r="24">
      <c r="A24" s="6" t="inlineStr">
        <is>
          <t>MFI-0023</t>
        </is>
      </c>
      <c r="B24" s="6" t="n">
        <v>159.38</v>
      </c>
      <c r="C24" s="6" t="n">
        <v>18</v>
      </c>
      <c r="D24" s="6" t="n">
        <v>59</v>
      </c>
      <c r="E24" s="6" t="n">
        <v>59.46</v>
      </c>
      <c r="F24" s="6" t="n">
        <v>5</v>
      </c>
      <c r="G24" s="6" t="n">
        <v>3</v>
      </c>
      <c r="H24" s="6" t="n">
        <v>0</v>
      </c>
      <c r="I24" s="6" t="n">
        <v>1</v>
      </c>
      <c r="J24" s="7">
        <f>(B24-'Model Coefficients'!$C$18)/'Model Coefficients'!$D$18</f>
        <v/>
      </c>
      <c r="K24" s="7">
        <f>(C24-'Model Coefficients'!$C$19)/'Model Coefficients'!$D$19</f>
        <v/>
      </c>
      <c r="L24" s="7">
        <f>(D24-'Model Coefficients'!$C$20)/'Model Coefficients'!$D$20</f>
        <v/>
      </c>
      <c r="M24" s="7">
        <f>(E24-'Model Coefficients'!$C$21)/'Model Coefficients'!$D$21</f>
        <v/>
      </c>
      <c r="N24" s="7">
        <f>(F24-'Model Coefficients'!$C$22)/'Model Coefficients'!$D$22</f>
        <v/>
      </c>
      <c r="O24" s="7">
        <f>(G24-'Model Coefficients'!$C$23)/'Model Coefficients'!$D$23</f>
        <v/>
      </c>
      <c r="P24" s="7">
        <f>(H24-'Model Coefficients'!$C$24)/'Model Coefficients'!$D$24</f>
        <v/>
      </c>
      <c r="Q24" s="7">
        <f>(I24-'Model Coefficients'!$C$25)/'Model Coefficients'!$D$25</f>
        <v/>
      </c>
      <c r="R24" s="7">
        <f>'Model Coefficients'!$C$6+'Model Coefficients'!$C$7*J24+'Model Coefficients'!$C$8*K24+'Model Coefficients'!$C$9*L24+'Model Coefficients'!$C$10*M24+'Model Coefficients'!$C$11*N24+'Model Coefficients'!$C$12*O24+'Model Coefficients'!$C$13*P24+'Model Coefficients'!$C$14*Q24</f>
        <v/>
      </c>
      <c r="S24" s="8">
        <f>1/(1+EXP(-R24))</f>
        <v/>
      </c>
      <c r="T24" s="6">
        <f>IF(S24&lt;0.15,"Low Risk",IF(S24&lt;0.35,"Medium Risk","High Risk"))</f>
        <v/>
      </c>
      <c r="U24" s="6" t="inlineStr">
        <is>
          <t>Defaulted</t>
        </is>
      </c>
    </row>
    <row r="25">
      <c r="A25" s="6" t="inlineStr">
        <is>
          <t>MFI-0024</t>
        </is>
      </c>
      <c r="B25" s="6" t="n">
        <v>183.16</v>
      </c>
      <c r="C25" s="6" t="n">
        <v>12</v>
      </c>
      <c r="D25" s="6" t="n">
        <v>57</v>
      </c>
      <c r="E25" s="6" t="n">
        <v>112.32</v>
      </c>
      <c r="F25" s="6" t="n">
        <v>0</v>
      </c>
      <c r="G25" s="6" t="n">
        <v>1</v>
      </c>
      <c r="H25" s="6" t="n">
        <v>0</v>
      </c>
      <c r="I25" s="6" t="n">
        <v>1</v>
      </c>
      <c r="J25" s="7">
        <f>(B25-'Model Coefficients'!$C$18)/'Model Coefficients'!$D$18</f>
        <v/>
      </c>
      <c r="K25" s="7">
        <f>(C25-'Model Coefficients'!$C$19)/'Model Coefficients'!$D$19</f>
        <v/>
      </c>
      <c r="L25" s="7">
        <f>(D25-'Model Coefficients'!$C$20)/'Model Coefficients'!$D$20</f>
        <v/>
      </c>
      <c r="M25" s="7">
        <f>(E25-'Model Coefficients'!$C$21)/'Model Coefficients'!$D$21</f>
        <v/>
      </c>
      <c r="N25" s="7">
        <f>(F25-'Model Coefficients'!$C$22)/'Model Coefficients'!$D$22</f>
        <v/>
      </c>
      <c r="O25" s="7">
        <f>(G25-'Model Coefficients'!$C$23)/'Model Coefficients'!$D$23</f>
        <v/>
      </c>
      <c r="P25" s="7">
        <f>(H25-'Model Coefficients'!$C$24)/'Model Coefficients'!$D$24</f>
        <v/>
      </c>
      <c r="Q25" s="7">
        <f>(I25-'Model Coefficients'!$C$25)/'Model Coefficients'!$D$25</f>
        <v/>
      </c>
      <c r="R25" s="7">
        <f>'Model Coefficients'!$C$6+'Model Coefficients'!$C$7*J25+'Model Coefficients'!$C$8*K25+'Model Coefficients'!$C$9*L25+'Model Coefficients'!$C$10*M25+'Model Coefficients'!$C$11*N25+'Model Coefficients'!$C$12*O25+'Model Coefficients'!$C$13*P25+'Model Coefficients'!$C$14*Q25</f>
        <v/>
      </c>
      <c r="S25" s="8">
        <f>1/(1+EXP(-R25))</f>
        <v/>
      </c>
      <c r="T25" s="6">
        <f>IF(S25&lt;0.15,"Low Risk",IF(S25&lt;0.35,"Medium Risk","High Risk"))</f>
        <v/>
      </c>
      <c r="U25" s="6" t="inlineStr">
        <is>
          <t>Defaulted</t>
        </is>
      </c>
    </row>
    <row r="26">
      <c r="A26" s="6" t="inlineStr">
        <is>
          <t>MFI-0025</t>
        </is>
      </c>
      <c r="B26" s="6" t="n">
        <v>71.61</v>
      </c>
      <c r="C26" s="6" t="n">
        <v>18</v>
      </c>
      <c r="D26" s="6" t="n">
        <v>48</v>
      </c>
      <c r="E26" s="6" t="n">
        <v>53.71</v>
      </c>
      <c r="F26" s="6" t="n">
        <v>4</v>
      </c>
      <c r="G26" s="6" t="n">
        <v>5</v>
      </c>
      <c r="H26" s="6" t="n">
        <v>1</v>
      </c>
      <c r="I26" s="6" t="n">
        <v>1</v>
      </c>
      <c r="J26" s="7">
        <f>(B26-'Model Coefficients'!$C$18)/'Model Coefficients'!$D$18</f>
        <v/>
      </c>
      <c r="K26" s="7">
        <f>(C26-'Model Coefficients'!$C$19)/'Model Coefficients'!$D$19</f>
        <v/>
      </c>
      <c r="L26" s="7">
        <f>(D26-'Model Coefficients'!$C$20)/'Model Coefficients'!$D$20</f>
        <v/>
      </c>
      <c r="M26" s="7">
        <f>(E26-'Model Coefficients'!$C$21)/'Model Coefficients'!$D$21</f>
        <v/>
      </c>
      <c r="N26" s="7">
        <f>(F26-'Model Coefficients'!$C$22)/'Model Coefficients'!$D$22</f>
        <v/>
      </c>
      <c r="O26" s="7">
        <f>(G26-'Model Coefficients'!$C$23)/'Model Coefficients'!$D$23</f>
        <v/>
      </c>
      <c r="P26" s="7">
        <f>(H26-'Model Coefficients'!$C$24)/'Model Coefficients'!$D$24</f>
        <v/>
      </c>
      <c r="Q26" s="7">
        <f>(I26-'Model Coefficients'!$C$25)/'Model Coefficients'!$D$25</f>
        <v/>
      </c>
      <c r="R26" s="7">
        <f>'Model Coefficients'!$C$6+'Model Coefficients'!$C$7*J26+'Model Coefficients'!$C$8*K26+'Model Coefficients'!$C$9*L26+'Model Coefficients'!$C$10*M26+'Model Coefficients'!$C$11*N26+'Model Coefficients'!$C$12*O26+'Model Coefficients'!$C$13*P26+'Model Coefficients'!$C$14*Q26</f>
        <v/>
      </c>
      <c r="S26" s="8">
        <f>1/(1+EXP(-R26))</f>
        <v/>
      </c>
      <c r="T26" s="6">
        <f>IF(S26&lt;0.15,"Low Risk",IF(S26&lt;0.35,"Medium Risk","High Risk"))</f>
        <v/>
      </c>
      <c r="U26" s="6" t="inlineStr">
        <is>
          <t>Repaid</t>
        </is>
      </c>
    </row>
    <row r="27">
      <c r="A27" s="6" t="inlineStr">
        <is>
          <t>MFI-0026</t>
        </is>
      </c>
      <c r="B27" s="6" t="n">
        <v>24.17</v>
      </c>
      <c r="C27" s="6" t="n">
        <v>12</v>
      </c>
      <c r="D27" s="6" t="n">
        <v>35</v>
      </c>
      <c r="E27" s="6" t="n">
        <v>25.43</v>
      </c>
      <c r="F27" s="6" t="n">
        <v>0</v>
      </c>
      <c r="G27" s="6" t="n">
        <v>1</v>
      </c>
      <c r="H27" s="6" t="n">
        <v>1</v>
      </c>
      <c r="I27" s="6" t="n">
        <v>0</v>
      </c>
      <c r="J27" s="7">
        <f>(B27-'Model Coefficients'!$C$18)/'Model Coefficients'!$D$18</f>
        <v/>
      </c>
      <c r="K27" s="7">
        <f>(C27-'Model Coefficients'!$C$19)/'Model Coefficients'!$D$19</f>
        <v/>
      </c>
      <c r="L27" s="7">
        <f>(D27-'Model Coefficients'!$C$20)/'Model Coefficients'!$D$20</f>
        <v/>
      </c>
      <c r="M27" s="7">
        <f>(E27-'Model Coefficients'!$C$21)/'Model Coefficients'!$D$21</f>
        <v/>
      </c>
      <c r="N27" s="7">
        <f>(F27-'Model Coefficients'!$C$22)/'Model Coefficients'!$D$22</f>
        <v/>
      </c>
      <c r="O27" s="7">
        <f>(G27-'Model Coefficients'!$C$23)/'Model Coefficients'!$D$23</f>
        <v/>
      </c>
      <c r="P27" s="7">
        <f>(H27-'Model Coefficients'!$C$24)/'Model Coefficients'!$D$24</f>
        <v/>
      </c>
      <c r="Q27" s="7">
        <f>(I27-'Model Coefficients'!$C$25)/'Model Coefficients'!$D$25</f>
        <v/>
      </c>
      <c r="R27" s="7">
        <f>'Model Coefficients'!$C$6+'Model Coefficients'!$C$7*J27+'Model Coefficients'!$C$8*K27+'Model Coefficients'!$C$9*L27+'Model Coefficients'!$C$10*M27+'Model Coefficients'!$C$11*N27+'Model Coefficients'!$C$12*O27+'Model Coefficients'!$C$13*P27+'Model Coefficients'!$C$14*Q27</f>
        <v/>
      </c>
      <c r="S27" s="8">
        <f>1/(1+EXP(-R27))</f>
        <v/>
      </c>
      <c r="T27" s="6">
        <f>IF(S27&lt;0.15,"Low Risk",IF(S27&lt;0.35,"Medium Risk","High Risk"))</f>
        <v/>
      </c>
      <c r="U27" s="6" t="inlineStr">
        <is>
          <t>Repaid</t>
        </is>
      </c>
    </row>
    <row r="28">
      <c r="A28" s="6" t="inlineStr">
        <is>
          <t>MFI-0027</t>
        </is>
      </c>
      <c r="B28" s="6" t="n">
        <v>151.92</v>
      </c>
      <c r="C28" s="6" t="n">
        <v>12</v>
      </c>
      <c r="D28" s="6" t="n">
        <v>45</v>
      </c>
      <c r="E28" s="6" t="n">
        <v>58.99</v>
      </c>
      <c r="F28" s="6" t="n">
        <v>3</v>
      </c>
      <c r="G28" s="6" t="n">
        <v>0</v>
      </c>
      <c r="H28" s="6" t="n">
        <v>1</v>
      </c>
      <c r="I28" s="6" t="n">
        <v>1</v>
      </c>
      <c r="J28" s="7">
        <f>(B28-'Model Coefficients'!$C$18)/'Model Coefficients'!$D$18</f>
        <v/>
      </c>
      <c r="K28" s="7">
        <f>(C28-'Model Coefficients'!$C$19)/'Model Coefficients'!$D$19</f>
        <v/>
      </c>
      <c r="L28" s="7">
        <f>(D28-'Model Coefficients'!$C$20)/'Model Coefficients'!$D$20</f>
        <v/>
      </c>
      <c r="M28" s="7">
        <f>(E28-'Model Coefficients'!$C$21)/'Model Coefficients'!$D$21</f>
        <v/>
      </c>
      <c r="N28" s="7">
        <f>(F28-'Model Coefficients'!$C$22)/'Model Coefficients'!$D$22</f>
        <v/>
      </c>
      <c r="O28" s="7">
        <f>(G28-'Model Coefficients'!$C$23)/'Model Coefficients'!$D$23</f>
        <v/>
      </c>
      <c r="P28" s="7">
        <f>(H28-'Model Coefficients'!$C$24)/'Model Coefficients'!$D$24</f>
        <v/>
      </c>
      <c r="Q28" s="7">
        <f>(I28-'Model Coefficients'!$C$25)/'Model Coefficients'!$D$25</f>
        <v/>
      </c>
      <c r="R28" s="7">
        <f>'Model Coefficients'!$C$6+'Model Coefficients'!$C$7*J28+'Model Coefficients'!$C$8*K28+'Model Coefficients'!$C$9*L28+'Model Coefficients'!$C$10*M28+'Model Coefficients'!$C$11*N28+'Model Coefficients'!$C$12*O28+'Model Coefficients'!$C$13*P28+'Model Coefficients'!$C$14*Q28</f>
        <v/>
      </c>
      <c r="S28" s="8">
        <f>1/(1+EXP(-R28))</f>
        <v/>
      </c>
      <c r="T28" s="6">
        <f>IF(S28&lt;0.15,"Low Risk",IF(S28&lt;0.35,"Medium Risk","High Risk"))</f>
        <v/>
      </c>
      <c r="U28" s="6" t="inlineStr">
        <is>
          <t>Repaid</t>
        </is>
      </c>
    </row>
    <row r="29">
      <c r="A29" s="6" t="inlineStr">
        <is>
          <t>MFI-0028</t>
        </is>
      </c>
      <c r="B29" s="6" t="n">
        <v>223.91</v>
      </c>
      <c r="C29" s="6" t="n">
        <v>18</v>
      </c>
      <c r="D29" s="6" t="n">
        <v>32</v>
      </c>
      <c r="E29" s="6" t="n">
        <v>57.54</v>
      </c>
      <c r="F29" s="6" t="n">
        <v>2</v>
      </c>
      <c r="G29" s="6" t="n">
        <v>0</v>
      </c>
      <c r="H29" s="6" t="n">
        <v>0</v>
      </c>
      <c r="I29" s="6" t="n">
        <v>0</v>
      </c>
      <c r="J29" s="7">
        <f>(B29-'Model Coefficients'!$C$18)/'Model Coefficients'!$D$18</f>
        <v/>
      </c>
      <c r="K29" s="7">
        <f>(C29-'Model Coefficients'!$C$19)/'Model Coefficients'!$D$19</f>
        <v/>
      </c>
      <c r="L29" s="7">
        <f>(D29-'Model Coefficients'!$C$20)/'Model Coefficients'!$D$20</f>
        <v/>
      </c>
      <c r="M29" s="7">
        <f>(E29-'Model Coefficients'!$C$21)/'Model Coefficients'!$D$21</f>
        <v/>
      </c>
      <c r="N29" s="7">
        <f>(F29-'Model Coefficients'!$C$22)/'Model Coefficients'!$D$22</f>
        <v/>
      </c>
      <c r="O29" s="7">
        <f>(G29-'Model Coefficients'!$C$23)/'Model Coefficients'!$D$23</f>
        <v/>
      </c>
      <c r="P29" s="7">
        <f>(H29-'Model Coefficients'!$C$24)/'Model Coefficients'!$D$24</f>
        <v/>
      </c>
      <c r="Q29" s="7">
        <f>(I29-'Model Coefficients'!$C$25)/'Model Coefficients'!$D$25</f>
        <v/>
      </c>
      <c r="R29" s="7">
        <f>'Model Coefficients'!$C$6+'Model Coefficients'!$C$7*J29+'Model Coefficients'!$C$8*K29+'Model Coefficients'!$C$9*L29+'Model Coefficients'!$C$10*M29+'Model Coefficients'!$C$11*N29+'Model Coefficients'!$C$12*O29+'Model Coefficients'!$C$13*P29+'Model Coefficients'!$C$14*Q29</f>
        <v/>
      </c>
      <c r="S29" s="8">
        <f>1/(1+EXP(-R29))</f>
        <v/>
      </c>
      <c r="T29" s="6">
        <f>IF(S29&lt;0.15,"Low Risk",IF(S29&lt;0.35,"Medium Risk","High Risk"))</f>
        <v/>
      </c>
      <c r="U29" s="6" t="inlineStr">
        <is>
          <t>Defaulted</t>
        </is>
      </c>
    </row>
    <row r="30">
      <c r="A30" s="6" t="inlineStr">
        <is>
          <t>MFI-0029</t>
        </is>
      </c>
      <c r="B30" s="6" t="n">
        <v>277.21</v>
      </c>
      <c r="C30" s="6" t="n">
        <v>18</v>
      </c>
      <c r="D30" s="6" t="n">
        <v>20</v>
      </c>
      <c r="E30" s="6" t="n">
        <v>107.96</v>
      </c>
      <c r="F30" s="6" t="n">
        <v>2</v>
      </c>
      <c r="G30" s="6" t="n">
        <v>3</v>
      </c>
      <c r="H30" s="6" t="n">
        <v>1</v>
      </c>
      <c r="I30" s="6" t="n">
        <v>1</v>
      </c>
      <c r="J30" s="7">
        <f>(B30-'Model Coefficients'!$C$18)/'Model Coefficients'!$D$18</f>
        <v/>
      </c>
      <c r="K30" s="7">
        <f>(C30-'Model Coefficients'!$C$19)/'Model Coefficients'!$D$19</f>
        <v/>
      </c>
      <c r="L30" s="7">
        <f>(D30-'Model Coefficients'!$C$20)/'Model Coefficients'!$D$20</f>
        <v/>
      </c>
      <c r="M30" s="7">
        <f>(E30-'Model Coefficients'!$C$21)/'Model Coefficients'!$D$21</f>
        <v/>
      </c>
      <c r="N30" s="7">
        <f>(F30-'Model Coefficients'!$C$22)/'Model Coefficients'!$D$22</f>
        <v/>
      </c>
      <c r="O30" s="7">
        <f>(G30-'Model Coefficients'!$C$23)/'Model Coefficients'!$D$23</f>
        <v/>
      </c>
      <c r="P30" s="7">
        <f>(H30-'Model Coefficients'!$C$24)/'Model Coefficients'!$D$24</f>
        <v/>
      </c>
      <c r="Q30" s="7">
        <f>(I30-'Model Coefficients'!$C$25)/'Model Coefficients'!$D$25</f>
        <v/>
      </c>
      <c r="R30" s="7">
        <f>'Model Coefficients'!$C$6+'Model Coefficients'!$C$7*J30+'Model Coefficients'!$C$8*K30+'Model Coefficients'!$C$9*L30+'Model Coefficients'!$C$10*M30+'Model Coefficients'!$C$11*N30+'Model Coefficients'!$C$12*O30+'Model Coefficients'!$C$13*P30+'Model Coefficients'!$C$14*Q30</f>
        <v/>
      </c>
      <c r="S30" s="8">
        <f>1/(1+EXP(-R30))</f>
        <v/>
      </c>
      <c r="T30" s="6">
        <f>IF(S30&lt;0.15,"Low Risk",IF(S30&lt;0.35,"Medium Risk","High Risk"))</f>
        <v/>
      </c>
      <c r="U30" s="6" t="inlineStr">
        <is>
          <t>Repaid</t>
        </is>
      </c>
    </row>
    <row r="31">
      <c r="A31" s="6" t="inlineStr">
        <is>
          <t>MFI-0030</t>
        </is>
      </c>
      <c r="B31" s="6" t="n">
        <v>195.15</v>
      </c>
      <c r="C31" s="6" t="n">
        <v>18</v>
      </c>
      <c r="D31" s="6" t="n">
        <v>56</v>
      </c>
      <c r="E31" s="6" t="n">
        <v>49.8</v>
      </c>
      <c r="F31" s="6" t="n">
        <v>2</v>
      </c>
      <c r="G31" s="6" t="n">
        <v>4</v>
      </c>
      <c r="H31" s="6" t="n">
        <v>0</v>
      </c>
      <c r="I31" s="6" t="n">
        <v>1</v>
      </c>
      <c r="J31" s="7">
        <f>(B31-'Model Coefficients'!$C$18)/'Model Coefficients'!$D$18</f>
        <v/>
      </c>
      <c r="K31" s="7">
        <f>(C31-'Model Coefficients'!$C$19)/'Model Coefficients'!$D$19</f>
        <v/>
      </c>
      <c r="L31" s="7">
        <f>(D31-'Model Coefficients'!$C$20)/'Model Coefficients'!$D$20</f>
        <v/>
      </c>
      <c r="M31" s="7">
        <f>(E31-'Model Coefficients'!$C$21)/'Model Coefficients'!$D$21</f>
        <v/>
      </c>
      <c r="N31" s="7">
        <f>(F31-'Model Coefficients'!$C$22)/'Model Coefficients'!$D$22</f>
        <v/>
      </c>
      <c r="O31" s="7">
        <f>(G31-'Model Coefficients'!$C$23)/'Model Coefficients'!$D$23</f>
        <v/>
      </c>
      <c r="P31" s="7">
        <f>(H31-'Model Coefficients'!$C$24)/'Model Coefficients'!$D$24</f>
        <v/>
      </c>
      <c r="Q31" s="7">
        <f>(I31-'Model Coefficients'!$C$25)/'Model Coefficients'!$D$25</f>
        <v/>
      </c>
      <c r="R31" s="7">
        <f>'Model Coefficients'!$C$6+'Model Coefficients'!$C$7*J31+'Model Coefficients'!$C$8*K31+'Model Coefficients'!$C$9*L31+'Model Coefficients'!$C$10*M31+'Model Coefficients'!$C$11*N31+'Model Coefficients'!$C$12*O31+'Model Coefficients'!$C$13*P31+'Model Coefficients'!$C$14*Q31</f>
        <v/>
      </c>
      <c r="S31" s="8">
        <f>1/(1+EXP(-R31))</f>
        <v/>
      </c>
      <c r="T31" s="6">
        <f>IF(S31&lt;0.15,"Low Risk",IF(S31&lt;0.35,"Medium Risk","High Risk"))</f>
        <v/>
      </c>
      <c r="U31" s="6" t="inlineStr">
        <is>
          <t>Repaid</t>
        </is>
      </c>
    </row>
    <row r="32">
      <c r="A32" s="6" t="inlineStr">
        <is>
          <t>MFI-0031</t>
        </is>
      </c>
      <c r="B32" s="6" t="n">
        <v>276.79</v>
      </c>
      <c r="C32" s="6" t="n">
        <v>18</v>
      </c>
      <c r="D32" s="6" t="n">
        <v>59</v>
      </c>
      <c r="E32" s="6" t="n">
        <v>45.87</v>
      </c>
      <c r="F32" s="6" t="n">
        <v>5</v>
      </c>
      <c r="G32" s="6" t="n">
        <v>1</v>
      </c>
      <c r="H32" s="6" t="n">
        <v>1</v>
      </c>
      <c r="I32" s="6" t="n">
        <v>0</v>
      </c>
      <c r="J32" s="7">
        <f>(B32-'Model Coefficients'!$C$18)/'Model Coefficients'!$D$18</f>
        <v/>
      </c>
      <c r="K32" s="7">
        <f>(C32-'Model Coefficients'!$C$19)/'Model Coefficients'!$D$19</f>
        <v/>
      </c>
      <c r="L32" s="7">
        <f>(D32-'Model Coefficients'!$C$20)/'Model Coefficients'!$D$20</f>
        <v/>
      </c>
      <c r="M32" s="7">
        <f>(E32-'Model Coefficients'!$C$21)/'Model Coefficients'!$D$21</f>
        <v/>
      </c>
      <c r="N32" s="7">
        <f>(F32-'Model Coefficients'!$C$22)/'Model Coefficients'!$D$22</f>
        <v/>
      </c>
      <c r="O32" s="7">
        <f>(G32-'Model Coefficients'!$C$23)/'Model Coefficients'!$D$23</f>
        <v/>
      </c>
      <c r="P32" s="7">
        <f>(H32-'Model Coefficients'!$C$24)/'Model Coefficients'!$D$24</f>
        <v/>
      </c>
      <c r="Q32" s="7">
        <f>(I32-'Model Coefficients'!$C$25)/'Model Coefficients'!$D$25</f>
        <v/>
      </c>
      <c r="R32" s="7">
        <f>'Model Coefficients'!$C$6+'Model Coefficients'!$C$7*J32+'Model Coefficients'!$C$8*K32+'Model Coefficients'!$C$9*L32+'Model Coefficients'!$C$10*M32+'Model Coefficients'!$C$11*N32+'Model Coefficients'!$C$12*O32+'Model Coefficients'!$C$13*P32+'Model Coefficients'!$C$14*Q32</f>
        <v/>
      </c>
      <c r="S32" s="8">
        <f>1/(1+EXP(-R32))</f>
        <v/>
      </c>
      <c r="T32" s="6">
        <f>IF(S32&lt;0.15,"Low Risk",IF(S32&lt;0.35,"Medium Risk","High Risk"))</f>
        <v/>
      </c>
      <c r="U32" s="6" t="inlineStr">
        <is>
          <t>Defaulted</t>
        </is>
      </c>
    </row>
    <row r="33">
      <c r="A33" s="6" t="inlineStr">
        <is>
          <t>MFI-0032</t>
        </is>
      </c>
      <c r="B33" s="6" t="n">
        <v>262.11</v>
      </c>
      <c r="C33" s="6" t="n">
        <v>12</v>
      </c>
      <c r="D33" s="6" t="n">
        <v>21</v>
      </c>
      <c r="E33" s="6" t="n">
        <v>57.74</v>
      </c>
      <c r="F33" s="6" t="n">
        <v>2</v>
      </c>
      <c r="G33" s="6" t="n">
        <v>3</v>
      </c>
      <c r="H33" s="6" t="n">
        <v>1</v>
      </c>
      <c r="I33" s="6" t="n">
        <v>0</v>
      </c>
      <c r="J33" s="7">
        <f>(B33-'Model Coefficients'!$C$18)/'Model Coefficients'!$D$18</f>
        <v/>
      </c>
      <c r="K33" s="7">
        <f>(C33-'Model Coefficients'!$C$19)/'Model Coefficients'!$D$19</f>
        <v/>
      </c>
      <c r="L33" s="7">
        <f>(D33-'Model Coefficients'!$C$20)/'Model Coefficients'!$D$20</f>
        <v/>
      </c>
      <c r="M33" s="7">
        <f>(E33-'Model Coefficients'!$C$21)/'Model Coefficients'!$D$21</f>
        <v/>
      </c>
      <c r="N33" s="7">
        <f>(F33-'Model Coefficients'!$C$22)/'Model Coefficients'!$D$22</f>
        <v/>
      </c>
      <c r="O33" s="7">
        <f>(G33-'Model Coefficients'!$C$23)/'Model Coefficients'!$D$23</f>
        <v/>
      </c>
      <c r="P33" s="7">
        <f>(H33-'Model Coefficients'!$C$24)/'Model Coefficients'!$D$24</f>
        <v/>
      </c>
      <c r="Q33" s="7">
        <f>(I33-'Model Coefficients'!$C$25)/'Model Coefficients'!$D$25</f>
        <v/>
      </c>
      <c r="R33" s="7">
        <f>'Model Coefficients'!$C$6+'Model Coefficients'!$C$7*J33+'Model Coefficients'!$C$8*K33+'Model Coefficients'!$C$9*L33+'Model Coefficients'!$C$10*M33+'Model Coefficients'!$C$11*N33+'Model Coefficients'!$C$12*O33+'Model Coefficients'!$C$13*P33+'Model Coefficients'!$C$14*Q33</f>
        <v/>
      </c>
      <c r="S33" s="8">
        <f>1/(1+EXP(-R33))</f>
        <v/>
      </c>
      <c r="T33" s="6">
        <f>IF(S33&lt;0.15,"Low Risk",IF(S33&lt;0.35,"Medium Risk","High Risk"))</f>
        <v/>
      </c>
      <c r="U33" s="6" t="inlineStr">
        <is>
          <t>Defaulted</t>
        </is>
      </c>
    </row>
    <row r="34">
      <c r="A34" s="6" t="inlineStr">
        <is>
          <t>MFI-0033</t>
        </is>
      </c>
      <c r="B34" s="6" t="n">
        <v>81.08</v>
      </c>
      <c r="C34" s="6" t="n">
        <v>6</v>
      </c>
      <c r="D34" s="6" t="n">
        <v>42</v>
      </c>
      <c r="E34" s="6" t="n">
        <v>87.56</v>
      </c>
      <c r="F34" s="6" t="n">
        <v>5</v>
      </c>
      <c r="G34" s="6" t="n">
        <v>1</v>
      </c>
      <c r="H34" s="6" t="n">
        <v>0</v>
      </c>
      <c r="I34" s="6" t="n">
        <v>1</v>
      </c>
      <c r="J34" s="7">
        <f>(B34-'Model Coefficients'!$C$18)/'Model Coefficients'!$D$18</f>
        <v/>
      </c>
      <c r="K34" s="7">
        <f>(C34-'Model Coefficients'!$C$19)/'Model Coefficients'!$D$19</f>
        <v/>
      </c>
      <c r="L34" s="7">
        <f>(D34-'Model Coefficients'!$C$20)/'Model Coefficients'!$D$20</f>
        <v/>
      </c>
      <c r="M34" s="7">
        <f>(E34-'Model Coefficients'!$C$21)/'Model Coefficients'!$D$21</f>
        <v/>
      </c>
      <c r="N34" s="7">
        <f>(F34-'Model Coefficients'!$C$22)/'Model Coefficients'!$D$22</f>
        <v/>
      </c>
      <c r="O34" s="7">
        <f>(G34-'Model Coefficients'!$C$23)/'Model Coefficients'!$D$23</f>
        <v/>
      </c>
      <c r="P34" s="7">
        <f>(H34-'Model Coefficients'!$C$24)/'Model Coefficients'!$D$24</f>
        <v/>
      </c>
      <c r="Q34" s="7">
        <f>(I34-'Model Coefficients'!$C$25)/'Model Coefficients'!$D$25</f>
        <v/>
      </c>
      <c r="R34" s="7">
        <f>'Model Coefficients'!$C$6+'Model Coefficients'!$C$7*J34+'Model Coefficients'!$C$8*K34+'Model Coefficients'!$C$9*L34+'Model Coefficients'!$C$10*M34+'Model Coefficients'!$C$11*N34+'Model Coefficients'!$C$12*O34+'Model Coefficients'!$C$13*P34+'Model Coefficients'!$C$14*Q34</f>
        <v/>
      </c>
      <c r="S34" s="8">
        <f>1/(1+EXP(-R34))</f>
        <v/>
      </c>
      <c r="T34" s="6">
        <f>IF(S34&lt;0.15,"Low Risk",IF(S34&lt;0.35,"Medium Risk","High Risk"))</f>
        <v/>
      </c>
      <c r="U34" s="6" t="inlineStr">
        <is>
          <t>Repaid</t>
        </is>
      </c>
    </row>
    <row r="35">
      <c r="A35" s="6" t="inlineStr">
        <is>
          <t>MFI-0034</t>
        </is>
      </c>
      <c r="B35" s="6" t="n">
        <v>262.52</v>
      </c>
      <c r="C35" s="6" t="n">
        <v>6</v>
      </c>
      <c r="D35" s="6" t="n">
        <v>59</v>
      </c>
      <c r="E35" s="6" t="n">
        <v>59.34</v>
      </c>
      <c r="F35" s="6" t="n">
        <v>1</v>
      </c>
      <c r="G35" s="6" t="n">
        <v>0</v>
      </c>
      <c r="H35" s="6" t="n">
        <v>1</v>
      </c>
      <c r="I35" s="6" t="n">
        <v>0</v>
      </c>
      <c r="J35" s="7">
        <f>(B35-'Model Coefficients'!$C$18)/'Model Coefficients'!$D$18</f>
        <v/>
      </c>
      <c r="K35" s="7">
        <f>(C35-'Model Coefficients'!$C$19)/'Model Coefficients'!$D$19</f>
        <v/>
      </c>
      <c r="L35" s="7">
        <f>(D35-'Model Coefficients'!$C$20)/'Model Coefficients'!$D$20</f>
        <v/>
      </c>
      <c r="M35" s="7">
        <f>(E35-'Model Coefficients'!$C$21)/'Model Coefficients'!$D$21</f>
        <v/>
      </c>
      <c r="N35" s="7">
        <f>(F35-'Model Coefficients'!$C$22)/'Model Coefficients'!$D$22</f>
        <v/>
      </c>
      <c r="O35" s="7">
        <f>(G35-'Model Coefficients'!$C$23)/'Model Coefficients'!$D$23</f>
        <v/>
      </c>
      <c r="P35" s="7">
        <f>(H35-'Model Coefficients'!$C$24)/'Model Coefficients'!$D$24</f>
        <v/>
      </c>
      <c r="Q35" s="7">
        <f>(I35-'Model Coefficients'!$C$25)/'Model Coefficients'!$D$25</f>
        <v/>
      </c>
      <c r="R35" s="7">
        <f>'Model Coefficients'!$C$6+'Model Coefficients'!$C$7*J35+'Model Coefficients'!$C$8*K35+'Model Coefficients'!$C$9*L35+'Model Coefficients'!$C$10*M35+'Model Coefficients'!$C$11*N35+'Model Coefficients'!$C$12*O35+'Model Coefficients'!$C$13*P35+'Model Coefficients'!$C$14*Q35</f>
        <v/>
      </c>
      <c r="S35" s="8">
        <f>1/(1+EXP(-R35))</f>
        <v/>
      </c>
      <c r="T35" s="6">
        <f>IF(S35&lt;0.15,"Low Risk",IF(S35&lt;0.35,"Medium Risk","High Risk"))</f>
        <v/>
      </c>
      <c r="U35" s="6" t="inlineStr">
        <is>
          <t>Defaulted</t>
        </is>
      </c>
    </row>
    <row r="36">
      <c r="A36" s="6" t="inlineStr">
        <is>
          <t>MFI-0035</t>
        </is>
      </c>
      <c r="B36" s="6" t="n">
        <v>224.61</v>
      </c>
      <c r="C36" s="6" t="n">
        <v>12</v>
      </c>
      <c r="D36" s="6" t="n">
        <v>52</v>
      </c>
      <c r="E36" s="6" t="n">
        <v>69.81999999999999</v>
      </c>
      <c r="F36" s="6" t="n">
        <v>4</v>
      </c>
      <c r="G36" s="6" t="n">
        <v>3</v>
      </c>
      <c r="H36" s="6" t="n">
        <v>0</v>
      </c>
      <c r="I36" s="6" t="n">
        <v>1</v>
      </c>
      <c r="J36" s="7">
        <f>(B36-'Model Coefficients'!$C$18)/'Model Coefficients'!$D$18</f>
        <v/>
      </c>
      <c r="K36" s="7">
        <f>(C36-'Model Coefficients'!$C$19)/'Model Coefficients'!$D$19</f>
        <v/>
      </c>
      <c r="L36" s="7">
        <f>(D36-'Model Coefficients'!$C$20)/'Model Coefficients'!$D$20</f>
        <v/>
      </c>
      <c r="M36" s="7">
        <f>(E36-'Model Coefficients'!$C$21)/'Model Coefficients'!$D$21</f>
        <v/>
      </c>
      <c r="N36" s="7">
        <f>(F36-'Model Coefficients'!$C$22)/'Model Coefficients'!$D$22</f>
        <v/>
      </c>
      <c r="O36" s="7">
        <f>(G36-'Model Coefficients'!$C$23)/'Model Coefficients'!$D$23</f>
        <v/>
      </c>
      <c r="P36" s="7">
        <f>(H36-'Model Coefficients'!$C$24)/'Model Coefficients'!$D$24</f>
        <v/>
      </c>
      <c r="Q36" s="7">
        <f>(I36-'Model Coefficients'!$C$25)/'Model Coefficients'!$D$25</f>
        <v/>
      </c>
      <c r="R36" s="7">
        <f>'Model Coefficients'!$C$6+'Model Coefficients'!$C$7*J36+'Model Coefficients'!$C$8*K36+'Model Coefficients'!$C$9*L36+'Model Coefficients'!$C$10*M36+'Model Coefficients'!$C$11*N36+'Model Coefficients'!$C$12*O36+'Model Coefficients'!$C$13*P36+'Model Coefficients'!$C$14*Q36</f>
        <v/>
      </c>
      <c r="S36" s="8">
        <f>1/(1+EXP(-R36))</f>
        <v/>
      </c>
      <c r="T36" s="6">
        <f>IF(S36&lt;0.15,"Low Risk",IF(S36&lt;0.35,"Medium Risk","High Risk"))</f>
        <v/>
      </c>
      <c r="U36" s="6" t="inlineStr">
        <is>
          <t>Repaid</t>
        </is>
      </c>
    </row>
    <row r="37">
      <c r="A37" s="6" t="inlineStr">
        <is>
          <t>MFI-0036</t>
        </is>
      </c>
      <c r="B37" s="6" t="n">
        <v>97.8</v>
      </c>
      <c r="C37" s="6" t="n">
        <v>18</v>
      </c>
      <c r="D37" s="6" t="n">
        <v>57</v>
      </c>
      <c r="E37" s="6" t="n">
        <v>89.56999999999999</v>
      </c>
      <c r="F37" s="6" t="n">
        <v>3</v>
      </c>
      <c r="G37" s="6" t="n">
        <v>2</v>
      </c>
      <c r="H37" s="6" t="n">
        <v>1</v>
      </c>
      <c r="I37" s="6" t="n">
        <v>1</v>
      </c>
      <c r="J37" s="7">
        <f>(B37-'Model Coefficients'!$C$18)/'Model Coefficients'!$D$18</f>
        <v/>
      </c>
      <c r="K37" s="7">
        <f>(C37-'Model Coefficients'!$C$19)/'Model Coefficients'!$D$19</f>
        <v/>
      </c>
      <c r="L37" s="7">
        <f>(D37-'Model Coefficients'!$C$20)/'Model Coefficients'!$D$20</f>
        <v/>
      </c>
      <c r="M37" s="7">
        <f>(E37-'Model Coefficients'!$C$21)/'Model Coefficients'!$D$21</f>
        <v/>
      </c>
      <c r="N37" s="7">
        <f>(F37-'Model Coefficients'!$C$22)/'Model Coefficients'!$D$22</f>
        <v/>
      </c>
      <c r="O37" s="7">
        <f>(G37-'Model Coefficients'!$C$23)/'Model Coefficients'!$D$23</f>
        <v/>
      </c>
      <c r="P37" s="7">
        <f>(H37-'Model Coefficients'!$C$24)/'Model Coefficients'!$D$24</f>
        <v/>
      </c>
      <c r="Q37" s="7">
        <f>(I37-'Model Coefficients'!$C$25)/'Model Coefficients'!$D$25</f>
        <v/>
      </c>
      <c r="R37" s="7">
        <f>'Model Coefficients'!$C$6+'Model Coefficients'!$C$7*J37+'Model Coefficients'!$C$8*K37+'Model Coefficients'!$C$9*L37+'Model Coefficients'!$C$10*M37+'Model Coefficients'!$C$11*N37+'Model Coefficients'!$C$12*O37+'Model Coefficients'!$C$13*P37+'Model Coefficients'!$C$14*Q37</f>
        <v/>
      </c>
      <c r="S37" s="8">
        <f>1/(1+EXP(-R37))</f>
        <v/>
      </c>
      <c r="T37" s="6">
        <f>IF(S37&lt;0.15,"Low Risk",IF(S37&lt;0.35,"Medium Risk","High Risk"))</f>
        <v/>
      </c>
      <c r="U37" s="6" t="inlineStr">
        <is>
          <t>Repaid</t>
        </is>
      </c>
    </row>
    <row r="38">
      <c r="A38" s="6" t="inlineStr">
        <is>
          <t>MFI-0037</t>
        </is>
      </c>
      <c r="B38" s="6" t="n">
        <v>243.17</v>
      </c>
      <c r="C38" s="6" t="n">
        <v>24</v>
      </c>
      <c r="D38" s="6" t="n">
        <v>51</v>
      </c>
      <c r="E38" s="6" t="n">
        <v>17.81</v>
      </c>
      <c r="F38" s="6" t="n">
        <v>3</v>
      </c>
      <c r="G38" s="6" t="n">
        <v>2</v>
      </c>
      <c r="H38" s="6" t="n">
        <v>0</v>
      </c>
      <c r="I38" s="6" t="n">
        <v>1</v>
      </c>
      <c r="J38" s="7">
        <f>(B38-'Model Coefficients'!$C$18)/'Model Coefficients'!$D$18</f>
        <v/>
      </c>
      <c r="K38" s="7">
        <f>(C38-'Model Coefficients'!$C$19)/'Model Coefficients'!$D$19</f>
        <v/>
      </c>
      <c r="L38" s="7">
        <f>(D38-'Model Coefficients'!$C$20)/'Model Coefficients'!$D$20</f>
        <v/>
      </c>
      <c r="M38" s="7">
        <f>(E38-'Model Coefficients'!$C$21)/'Model Coefficients'!$D$21</f>
        <v/>
      </c>
      <c r="N38" s="7">
        <f>(F38-'Model Coefficients'!$C$22)/'Model Coefficients'!$D$22</f>
        <v/>
      </c>
      <c r="O38" s="7">
        <f>(G38-'Model Coefficients'!$C$23)/'Model Coefficients'!$D$23</f>
        <v/>
      </c>
      <c r="P38" s="7">
        <f>(H38-'Model Coefficients'!$C$24)/'Model Coefficients'!$D$24</f>
        <v/>
      </c>
      <c r="Q38" s="7">
        <f>(I38-'Model Coefficients'!$C$25)/'Model Coefficients'!$D$25</f>
        <v/>
      </c>
      <c r="R38" s="7">
        <f>'Model Coefficients'!$C$6+'Model Coefficients'!$C$7*J38+'Model Coefficients'!$C$8*K38+'Model Coefficients'!$C$9*L38+'Model Coefficients'!$C$10*M38+'Model Coefficients'!$C$11*N38+'Model Coefficients'!$C$12*O38+'Model Coefficients'!$C$13*P38+'Model Coefficients'!$C$14*Q38</f>
        <v/>
      </c>
      <c r="S38" s="8">
        <f>1/(1+EXP(-R38))</f>
        <v/>
      </c>
      <c r="T38" s="6">
        <f>IF(S38&lt;0.15,"Low Risk",IF(S38&lt;0.35,"Medium Risk","High Risk"))</f>
        <v/>
      </c>
      <c r="U38" s="6" t="inlineStr">
        <is>
          <t>Defaulted</t>
        </is>
      </c>
    </row>
    <row r="39">
      <c r="A39" s="6" t="inlineStr">
        <is>
          <t>MFI-0038</t>
        </is>
      </c>
      <c r="B39" s="6" t="n">
        <v>262.26</v>
      </c>
      <c r="C39" s="6" t="n">
        <v>12</v>
      </c>
      <c r="D39" s="6" t="n">
        <v>46</v>
      </c>
      <c r="E39" s="6" t="n">
        <v>28.98</v>
      </c>
      <c r="F39" s="6" t="n">
        <v>0</v>
      </c>
      <c r="G39" s="6" t="n">
        <v>5</v>
      </c>
      <c r="H39" s="6" t="n">
        <v>1</v>
      </c>
      <c r="I39" s="6" t="n">
        <v>1</v>
      </c>
      <c r="J39" s="7">
        <f>(B39-'Model Coefficients'!$C$18)/'Model Coefficients'!$D$18</f>
        <v/>
      </c>
      <c r="K39" s="7">
        <f>(C39-'Model Coefficients'!$C$19)/'Model Coefficients'!$D$19</f>
        <v/>
      </c>
      <c r="L39" s="7">
        <f>(D39-'Model Coefficients'!$C$20)/'Model Coefficients'!$D$20</f>
        <v/>
      </c>
      <c r="M39" s="7">
        <f>(E39-'Model Coefficients'!$C$21)/'Model Coefficients'!$D$21</f>
        <v/>
      </c>
      <c r="N39" s="7">
        <f>(F39-'Model Coefficients'!$C$22)/'Model Coefficients'!$D$22</f>
        <v/>
      </c>
      <c r="O39" s="7">
        <f>(G39-'Model Coefficients'!$C$23)/'Model Coefficients'!$D$23</f>
        <v/>
      </c>
      <c r="P39" s="7">
        <f>(H39-'Model Coefficients'!$C$24)/'Model Coefficients'!$D$24</f>
        <v/>
      </c>
      <c r="Q39" s="7">
        <f>(I39-'Model Coefficients'!$C$25)/'Model Coefficients'!$D$25</f>
        <v/>
      </c>
      <c r="R39" s="7">
        <f>'Model Coefficients'!$C$6+'Model Coefficients'!$C$7*J39+'Model Coefficients'!$C$8*K39+'Model Coefficients'!$C$9*L39+'Model Coefficients'!$C$10*M39+'Model Coefficients'!$C$11*N39+'Model Coefficients'!$C$12*O39+'Model Coefficients'!$C$13*P39+'Model Coefficients'!$C$14*Q39</f>
        <v/>
      </c>
      <c r="S39" s="8">
        <f>1/(1+EXP(-R39))</f>
        <v/>
      </c>
      <c r="T39" s="6">
        <f>IF(S39&lt;0.15,"Low Risk",IF(S39&lt;0.35,"Medium Risk","High Risk"))</f>
        <v/>
      </c>
      <c r="U39" s="6" t="inlineStr">
        <is>
          <t>Defaulted</t>
        </is>
      </c>
    </row>
    <row r="40">
      <c r="A40" s="6" t="inlineStr">
        <is>
          <t>MFI-0039</t>
        </is>
      </c>
      <c r="B40" s="6" t="n">
        <v>103.84</v>
      </c>
      <c r="C40" s="6" t="n">
        <v>6</v>
      </c>
      <c r="D40" s="6" t="n">
        <v>40</v>
      </c>
      <c r="E40" s="6" t="n">
        <v>91.14</v>
      </c>
      <c r="F40" s="6" t="n">
        <v>1</v>
      </c>
      <c r="G40" s="6" t="n">
        <v>5</v>
      </c>
      <c r="H40" s="6" t="n">
        <v>0</v>
      </c>
      <c r="I40" s="6" t="n">
        <v>1</v>
      </c>
      <c r="J40" s="7">
        <f>(B40-'Model Coefficients'!$C$18)/'Model Coefficients'!$D$18</f>
        <v/>
      </c>
      <c r="K40" s="7">
        <f>(C40-'Model Coefficients'!$C$19)/'Model Coefficients'!$D$19</f>
        <v/>
      </c>
      <c r="L40" s="7">
        <f>(D40-'Model Coefficients'!$C$20)/'Model Coefficients'!$D$20</f>
        <v/>
      </c>
      <c r="M40" s="7">
        <f>(E40-'Model Coefficients'!$C$21)/'Model Coefficients'!$D$21</f>
        <v/>
      </c>
      <c r="N40" s="7">
        <f>(F40-'Model Coefficients'!$C$22)/'Model Coefficients'!$D$22</f>
        <v/>
      </c>
      <c r="O40" s="7">
        <f>(G40-'Model Coefficients'!$C$23)/'Model Coefficients'!$D$23</f>
        <v/>
      </c>
      <c r="P40" s="7">
        <f>(H40-'Model Coefficients'!$C$24)/'Model Coefficients'!$D$24</f>
        <v/>
      </c>
      <c r="Q40" s="7">
        <f>(I40-'Model Coefficients'!$C$25)/'Model Coefficients'!$D$25</f>
        <v/>
      </c>
      <c r="R40" s="7">
        <f>'Model Coefficients'!$C$6+'Model Coefficients'!$C$7*J40+'Model Coefficients'!$C$8*K40+'Model Coefficients'!$C$9*L40+'Model Coefficients'!$C$10*M40+'Model Coefficients'!$C$11*N40+'Model Coefficients'!$C$12*O40+'Model Coefficients'!$C$13*P40+'Model Coefficients'!$C$14*Q40</f>
        <v/>
      </c>
      <c r="S40" s="8">
        <f>1/(1+EXP(-R40))</f>
        <v/>
      </c>
      <c r="T40" s="6">
        <f>IF(S40&lt;0.15,"Low Risk",IF(S40&lt;0.35,"Medium Risk","High Risk"))</f>
        <v/>
      </c>
      <c r="U40" s="6" t="inlineStr">
        <is>
          <t>Repaid</t>
        </is>
      </c>
    </row>
    <row r="41">
      <c r="A41" s="6" t="inlineStr">
        <is>
          <t>MFI-0040</t>
        </is>
      </c>
      <c r="B41" s="6" t="n">
        <v>167.57</v>
      </c>
      <c r="C41" s="6" t="n">
        <v>24</v>
      </c>
      <c r="D41" s="6" t="n">
        <v>42</v>
      </c>
      <c r="E41" s="6" t="n">
        <v>110.25</v>
      </c>
      <c r="F41" s="6" t="n">
        <v>2</v>
      </c>
      <c r="G41" s="6" t="n">
        <v>5</v>
      </c>
      <c r="H41" s="6" t="n">
        <v>0</v>
      </c>
      <c r="I41" s="6" t="n">
        <v>1</v>
      </c>
      <c r="J41" s="7">
        <f>(B41-'Model Coefficients'!$C$18)/'Model Coefficients'!$D$18</f>
        <v/>
      </c>
      <c r="K41" s="7">
        <f>(C41-'Model Coefficients'!$C$19)/'Model Coefficients'!$D$19</f>
        <v/>
      </c>
      <c r="L41" s="7">
        <f>(D41-'Model Coefficients'!$C$20)/'Model Coefficients'!$D$20</f>
        <v/>
      </c>
      <c r="M41" s="7">
        <f>(E41-'Model Coefficients'!$C$21)/'Model Coefficients'!$D$21</f>
        <v/>
      </c>
      <c r="N41" s="7">
        <f>(F41-'Model Coefficients'!$C$22)/'Model Coefficients'!$D$22</f>
        <v/>
      </c>
      <c r="O41" s="7">
        <f>(G41-'Model Coefficients'!$C$23)/'Model Coefficients'!$D$23</f>
        <v/>
      </c>
      <c r="P41" s="7">
        <f>(H41-'Model Coefficients'!$C$24)/'Model Coefficients'!$D$24</f>
        <v/>
      </c>
      <c r="Q41" s="7">
        <f>(I41-'Model Coefficients'!$C$25)/'Model Coefficients'!$D$25</f>
        <v/>
      </c>
      <c r="R41" s="7">
        <f>'Model Coefficients'!$C$6+'Model Coefficients'!$C$7*J41+'Model Coefficients'!$C$8*K41+'Model Coefficients'!$C$9*L41+'Model Coefficients'!$C$10*M41+'Model Coefficients'!$C$11*N41+'Model Coefficients'!$C$12*O41+'Model Coefficients'!$C$13*P41+'Model Coefficients'!$C$14*Q41</f>
        <v/>
      </c>
      <c r="S41" s="8">
        <f>1/(1+EXP(-R41))</f>
        <v/>
      </c>
      <c r="T41" s="6">
        <f>IF(S41&lt;0.15,"Low Risk",IF(S41&lt;0.35,"Medium Risk","High Risk"))</f>
        <v/>
      </c>
      <c r="U41" s="6" t="inlineStr">
        <is>
          <t>Repaid</t>
        </is>
      </c>
    </row>
    <row r="42">
      <c r="A42" s="6" t="inlineStr">
        <is>
          <t>MFI-0041</t>
        </is>
      </c>
      <c r="B42" s="6" t="n">
        <v>40.02</v>
      </c>
      <c r="C42" s="6" t="n">
        <v>24</v>
      </c>
      <c r="D42" s="6" t="n">
        <v>20</v>
      </c>
      <c r="E42" s="6" t="n">
        <v>106.04</v>
      </c>
      <c r="F42" s="6" t="n">
        <v>2</v>
      </c>
      <c r="G42" s="6" t="n">
        <v>1</v>
      </c>
      <c r="H42" s="6" t="n">
        <v>0</v>
      </c>
      <c r="I42" s="6" t="n">
        <v>0</v>
      </c>
      <c r="J42" s="7">
        <f>(B42-'Model Coefficients'!$C$18)/'Model Coefficients'!$D$18</f>
        <v/>
      </c>
      <c r="K42" s="7">
        <f>(C42-'Model Coefficients'!$C$19)/'Model Coefficients'!$D$19</f>
        <v/>
      </c>
      <c r="L42" s="7">
        <f>(D42-'Model Coefficients'!$C$20)/'Model Coefficients'!$D$20</f>
        <v/>
      </c>
      <c r="M42" s="7">
        <f>(E42-'Model Coefficients'!$C$21)/'Model Coefficients'!$D$21</f>
        <v/>
      </c>
      <c r="N42" s="7">
        <f>(F42-'Model Coefficients'!$C$22)/'Model Coefficients'!$D$22</f>
        <v/>
      </c>
      <c r="O42" s="7">
        <f>(G42-'Model Coefficients'!$C$23)/'Model Coefficients'!$D$23</f>
        <v/>
      </c>
      <c r="P42" s="7">
        <f>(H42-'Model Coefficients'!$C$24)/'Model Coefficients'!$D$24</f>
        <v/>
      </c>
      <c r="Q42" s="7">
        <f>(I42-'Model Coefficients'!$C$25)/'Model Coefficients'!$D$25</f>
        <v/>
      </c>
      <c r="R42" s="7">
        <f>'Model Coefficients'!$C$6+'Model Coefficients'!$C$7*J42+'Model Coefficients'!$C$8*K42+'Model Coefficients'!$C$9*L42+'Model Coefficients'!$C$10*M42+'Model Coefficients'!$C$11*N42+'Model Coefficients'!$C$12*O42+'Model Coefficients'!$C$13*P42+'Model Coefficients'!$C$14*Q42</f>
        <v/>
      </c>
      <c r="S42" s="8">
        <f>1/(1+EXP(-R42))</f>
        <v/>
      </c>
      <c r="T42" s="6">
        <f>IF(S42&lt;0.15,"Low Risk",IF(S42&lt;0.35,"Medium Risk","High Risk"))</f>
        <v/>
      </c>
      <c r="U42" s="6" t="inlineStr">
        <is>
          <t>Repaid</t>
        </is>
      </c>
    </row>
    <row r="43">
      <c r="A43" s="6" t="inlineStr">
        <is>
          <t>MFI-0042</t>
        </is>
      </c>
      <c r="B43" s="6" t="n">
        <v>183.31</v>
      </c>
      <c r="C43" s="6" t="n">
        <v>12</v>
      </c>
      <c r="D43" s="6" t="n">
        <v>40</v>
      </c>
      <c r="E43" s="6" t="n">
        <v>89.26000000000001</v>
      </c>
      <c r="F43" s="6" t="n">
        <v>3</v>
      </c>
      <c r="G43" s="6" t="n">
        <v>3</v>
      </c>
      <c r="H43" s="6" t="n">
        <v>0</v>
      </c>
      <c r="I43" s="6" t="n">
        <v>0</v>
      </c>
      <c r="J43" s="7">
        <f>(B43-'Model Coefficients'!$C$18)/'Model Coefficients'!$D$18</f>
        <v/>
      </c>
      <c r="K43" s="7">
        <f>(C43-'Model Coefficients'!$C$19)/'Model Coefficients'!$D$19</f>
        <v/>
      </c>
      <c r="L43" s="7">
        <f>(D43-'Model Coefficients'!$C$20)/'Model Coefficients'!$D$20</f>
        <v/>
      </c>
      <c r="M43" s="7">
        <f>(E43-'Model Coefficients'!$C$21)/'Model Coefficients'!$D$21</f>
        <v/>
      </c>
      <c r="N43" s="7">
        <f>(F43-'Model Coefficients'!$C$22)/'Model Coefficients'!$D$22</f>
        <v/>
      </c>
      <c r="O43" s="7">
        <f>(G43-'Model Coefficients'!$C$23)/'Model Coefficients'!$D$23</f>
        <v/>
      </c>
      <c r="P43" s="7">
        <f>(H43-'Model Coefficients'!$C$24)/'Model Coefficients'!$D$24</f>
        <v/>
      </c>
      <c r="Q43" s="7">
        <f>(I43-'Model Coefficients'!$C$25)/'Model Coefficients'!$D$25</f>
        <v/>
      </c>
      <c r="R43" s="7">
        <f>'Model Coefficients'!$C$6+'Model Coefficients'!$C$7*J43+'Model Coefficients'!$C$8*K43+'Model Coefficients'!$C$9*L43+'Model Coefficients'!$C$10*M43+'Model Coefficients'!$C$11*N43+'Model Coefficients'!$C$12*O43+'Model Coefficients'!$C$13*P43+'Model Coefficients'!$C$14*Q43</f>
        <v/>
      </c>
      <c r="S43" s="8">
        <f>1/(1+EXP(-R43))</f>
        <v/>
      </c>
      <c r="T43" s="6">
        <f>IF(S43&lt;0.15,"Low Risk",IF(S43&lt;0.35,"Medium Risk","High Risk"))</f>
        <v/>
      </c>
      <c r="U43" s="6" t="inlineStr">
        <is>
          <t>Repaid</t>
        </is>
      </c>
    </row>
    <row r="44">
      <c r="A44" s="6" t="inlineStr">
        <is>
          <t>MFI-0043</t>
        </is>
      </c>
      <c r="B44" s="6" t="n">
        <v>86.61</v>
      </c>
      <c r="C44" s="6" t="n">
        <v>18</v>
      </c>
      <c r="D44" s="6" t="n">
        <v>21</v>
      </c>
      <c r="E44" s="6" t="n">
        <v>118.09</v>
      </c>
      <c r="F44" s="6" t="n">
        <v>0</v>
      </c>
      <c r="G44" s="6" t="n">
        <v>2</v>
      </c>
      <c r="H44" s="6" t="n">
        <v>0</v>
      </c>
      <c r="I44" s="6" t="n">
        <v>0</v>
      </c>
      <c r="J44" s="7">
        <f>(B44-'Model Coefficients'!$C$18)/'Model Coefficients'!$D$18</f>
        <v/>
      </c>
      <c r="K44" s="7">
        <f>(C44-'Model Coefficients'!$C$19)/'Model Coefficients'!$D$19</f>
        <v/>
      </c>
      <c r="L44" s="7">
        <f>(D44-'Model Coefficients'!$C$20)/'Model Coefficients'!$D$20</f>
        <v/>
      </c>
      <c r="M44" s="7">
        <f>(E44-'Model Coefficients'!$C$21)/'Model Coefficients'!$D$21</f>
        <v/>
      </c>
      <c r="N44" s="7">
        <f>(F44-'Model Coefficients'!$C$22)/'Model Coefficients'!$D$22</f>
        <v/>
      </c>
      <c r="O44" s="7">
        <f>(G44-'Model Coefficients'!$C$23)/'Model Coefficients'!$D$23</f>
        <v/>
      </c>
      <c r="P44" s="7">
        <f>(H44-'Model Coefficients'!$C$24)/'Model Coefficients'!$D$24</f>
        <v/>
      </c>
      <c r="Q44" s="7">
        <f>(I44-'Model Coefficients'!$C$25)/'Model Coefficients'!$D$25</f>
        <v/>
      </c>
      <c r="R44" s="7">
        <f>'Model Coefficients'!$C$6+'Model Coefficients'!$C$7*J44+'Model Coefficients'!$C$8*K44+'Model Coefficients'!$C$9*L44+'Model Coefficients'!$C$10*M44+'Model Coefficients'!$C$11*N44+'Model Coefficients'!$C$12*O44+'Model Coefficients'!$C$13*P44+'Model Coefficients'!$C$14*Q44</f>
        <v/>
      </c>
      <c r="S44" s="8">
        <f>1/(1+EXP(-R44))</f>
        <v/>
      </c>
      <c r="T44" s="6">
        <f>IF(S44&lt;0.15,"Low Risk",IF(S44&lt;0.35,"Medium Risk","High Risk"))</f>
        <v/>
      </c>
      <c r="U44" s="6" t="inlineStr">
        <is>
          <t>Repaid</t>
        </is>
      </c>
    </row>
    <row r="45">
      <c r="A45" s="6" t="inlineStr">
        <is>
          <t>MFI-0044</t>
        </is>
      </c>
      <c r="B45" s="6" t="n">
        <v>234.19</v>
      </c>
      <c r="C45" s="6" t="n">
        <v>6</v>
      </c>
      <c r="D45" s="6" t="n">
        <v>23</v>
      </c>
      <c r="E45" s="6" t="n">
        <v>104.56</v>
      </c>
      <c r="F45" s="6" t="n">
        <v>4</v>
      </c>
      <c r="G45" s="6" t="n">
        <v>1</v>
      </c>
      <c r="H45" s="6" t="n">
        <v>1</v>
      </c>
      <c r="I45" s="6" t="n">
        <v>1</v>
      </c>
      <c r="J45" s="7">
        <f>(B45-'Model Coefficients'!$C$18)/'Model Coefficients'!$D$18</f>
        <v/>
      </c>
      <c r="K45" s="7">
        <f>(C45-'Model Coefficients'!$C$19)/'Model Coefficients'!$D$19</f>
        <v/>
      </c>
      <c r="L45" s="7">
        <f>(D45-'Model Coefficients'!$C$20)/'Model Coefficients'!$D$20</f>
        <v/>
      </c>
      <c r="M45" s="7">
        <f>(E45-'Model Coefficients'!$C$21)/'Model Coefficients'!$D$21</f>
        <v/>
      </c>
      <c r="N45" s="7">
        <f>(F45-'Model Coefficients'!$C$22)/'Model Coefficients'!$D$22</f>
        <v/>
      </c>
      <c r="O45" s="7">
        <f>(G45-'Model Coefficients'!$C$23)/'Model Coefficients'!$D$23</f>
        <v/>
      </c>
      <c r="P45" s="7">
        <f>(H45-'Model Coefficients'!$C$24)/'Model Coefficients'!$D$24</f>
        <v/>
      </c>
      <c r="Q45" s="7">
        <f>(I45-'Model Coefficients'!$C$25)/'Model Coefficients'!$D$25</f>
        <v/>
      </c>
      <c r="R45" s="7">
        <f>'Model Coefficients'!$C$6+'Model Coefficients'!$C$7*J45+'Model Coefficients'!$C$8*K45+'Model Coefficients'!$C$9*L45+'Model Coefficients'!$C$10*M45+'Model Coefficients'!$C$11*N45+'Model Coefficients'!$C$12*O45+'Model Coefficients'!$C$13*P45+'Model Coefficients'!$C$14*Q45</f>
        <v/>
      </c>
      <c r="S45" s="8">
        <f>1/(1+EXP(-R45))</f>
        <v/>
      </c>
      <c r="T45" s="6">
        <f>IF(S45&lt;0.15,"Low Risk",IF(S45&lt;0.35,"Medium Risk","High Risk"))</f>
        <v/>
      </c>
      <c r="U45" s="6" t="inlineStr">
        <is>
          <t>Repaid</t>
        </is>
      </c>
    </row>
    <row r="46">
      <c r="A46" s="6" t="inlineStr">
        <is>
          <t>MFI-0045</t>
        </is>
      </c>
      <c r="B46" s="6" t="n">
        <v>68.62</v>
      </c>
      <c r="C46" s="6" t="n">
        <v>12</v>
      </c>
      <c r="D46" s="6" t="n">
        <v>53</v>
      </c>
      <c r="E46" s="6" t="n">
        <v>87.84</v>
      </c>
      <c r="F46" s="6" t="n">
        <v>0</v>
      </c>
      <c r="G46" s="6" t="n">
        <v>3</v>
      </c>
      <c r="H46" s="6" t="n">
        <v>0</v>
      </c>
      <c r="I46" s="6" t="n">
        <v>1</v>
      </c>
      <c r="J46" s="7">
        <f>(B46-'Model Coefficients'!$C$18)/'Model Coefficients'!$D$18</f>
        <v/>
      </c>
      <c r="K46" s="7">
        <f>(C46-'Model Coefficients'!$C$19)/'Model Coefficients'!$D$19</f>
        <v/>
      </c>
      <c r="L46" s="7">
        <f>(D46-'Model Coefficients'!$C$20)/'Model Coefficients'!$D$20</f>
        <v/>
      </c>
      <c r="M46" s="7">
        <f>(E46-'Model Coefficients'!$C$21)/'Model Coefficients'!$D$21</f>
        <v/>
      </c>
      <c r="N46" s="7">
        <f>(F46-'Model Coefficients'!$C$22)/'Model Coefficients'!$D$22</f>
        <v/>
      </c>
      <c r="O46" s="7">
        <f>(G46-'Model Coefficients'!$C$23)/'Model Coefficients'!$D$23</f>
        <v/>
      </c>
      <c r="P46" s="7">
        <f>(H46-'Model Coefficients'!$C$24)/'Model Coefficients'!$D$24</f>
        <v/>
      </c>
      <c r="Q46" s="7">
        <f>(I46-'Model Coefficients'!$C$25)/'Model Coefficients'!$D$25</f>
        <v/>
      </c>
      <c r="R46" s="7">
        <f>'Model Coefficients'!$C$6+'Model Coefficients'!$C$7*J46+'Model Coefficients'!$C$8*K46+'Model Coefficients'!$C$9*L46+'Model Coefficients'!$C$10*M46+'Model Coefficients'!$C$11*N46+'Model Coefficients'!$C$12*O46+'Model Coefficients'!$C$13*P46+'Model Coefficients'!$C$14*Q46</f>
        <v/>
      </c>
      <c r="S46" s="8">
        <f>1/(1+EXP(-R46))</f>
        <v/>
      </c>
      <c r="T46" s="6">
        <f>IF(S46&lt;0.15,"Low Risk",IF(S46&lt;0.35,"Medium Risk","High Risk"))</f>
        <v/>
      </c>
      <c r="U46" s="6" t="inlineStr">
        <is>
          <t>Repaid</t>
        </is>
      </c>
    </row>
    <row r="47">
      <c r="A47" s="6" t="inlineStr">
        <is>
          <t>MFI-0046</t>
        </is>
      </c>
      <c r="B47" s="6" t="n">
        <v>107.57</v>
      </c>
      <c r="C47" s="6" t="n">
        <v>18</v>
      </c>
      <c r="D47" s="6" t="n">
        <v>23</v>
      </c>
      <c r="E47" s="6" t="n">
        <v>82.20999999999999</v>
      </c>
      <c r="F47" s="6" t="n">
        <v>5</v>
      </c>
      <c r="G47" s="6" t="n">
        <v>3</v>
      </c>
      <c r="H47" s="6" t="n">
        <v>0</v>
      </c>
      <c r="I47" s="6" t="n">
        <v>1</v>
      </c>
      <c r="J47" s="7">
        <f>(B47-'Model Coefficients'!$C$18)/'Model Coefficients'!$D$18</f>
        <v/>
      </c>
      <c r="K47" s="7">
        <f>(C47-'Model Coefficients'!$C$19)/'Model Coefficients'!$D$19</f>
        <v/>
      </c>
      <c r="L47" s="7">
        <f>(D47-'Model Coefficients'!$C$20)/'Model Coefficients'!$D$20</f>
        <v/>
      </c>
      <c r="M47" s="7">
        <f>(E47-'Model Coefficients'!$C$21)/'Model Coefficients'!$D$21</f>
        <v/>
      </c>
      <c r="N47" s="7">
        <f>(F47-'Model Coefficients'!$C$22)/'Model Coefficients'!$D$22</f>
        <v/>
      </c>
      <c r="O47" s="7">
        <f>(G47-'Model Coefficients'!$C$23)/'Model Coefficients'!$D$23</f>
        <v/>
      </c>
      <c r="P47" s="7">
        <f>(H47-'Model Coefficients'!$C$24)/'Model Coefficients'!$D$24</f>
        <v/>
      </c>
      <c r="Q47" s="7">
        <f>(I47-'Model Coefficients'!$C$25)/'Model Coefficients'!$D$25</f>
        <v/>
      </c>
      <c r="R47" s="7">
        <f>'Model Coefficients'!$C$6+'Model Coefficients'!$C$7*J47+'Model Coefficients'!$C$8*K47+'Model Coefficients'!$C$9*L47+'Model Coefficients'!$C$10*M47+'Model Coefficients'!$C$11*N47+'Model Coefficients'!$C$12*O47+'Model Coefficients'!$C$13*P47+'Model Coefficients'!$C$14*Q47</f>
        <v/>
      </c>
      <c r="S47" s="8">
        <f>1/(1+EXP(-R47))</f>
        <v/>
      </c>
      <c r="T47" s="6">
        <f>IF(S47&lt;0.15,"Low Risk",IF(S47&lt;0.35,"Medium Risk","High Risk"))</f>
        <v/>
      </c>
      <c r="U47" s="6" t="inlineStr">
        <is>
          <t>Repaid</t>
        </is>
      </c>
    </row>
    <row r="48">
      <c r="A48" s="6" t="inlineStr">
        <is>
          <t>MFI-0047</t>
        </is>
      </c>
      <c r="B48" s="6" t="n">
        <v>24.05</v>
      </c>
      <c r="C48" s="6" t="n">
        <v>18</v>
      </c>
      <c r="D48" s="6" t="n">
        <v>42</v>
      </c>
      <c r="E48" s="6" t="n">
        <v>104.58</v>
      </c>
      <c r="F48" s="6" t="n">
        <v>1</v>
      </c>
      <c r="G48" s="6" t="n">
        <v>4</v>
      </c>
      <c r="H48" s="6" t="n">
        <v>1</v>
      </c>
      <c r="I48" s="6" t="n">
        <v>0</v>
      </c>
      <c r="J48" s="7">
        <f>(B48-'Model Coefficients'!$C$18)/'Model Coefficients'!$D$18</f>
        <v/>
      </c>
      <c r="K48" s="7">
        <f>(C48-'Model Coefficients'!$C$19)/'Model Coefficients'!$D$19</f>
        <v/>
      </c>
      <c r="L48" s="7">
        <f>(D48-'Model Coefficients'!$C$20)/'Model Coefficients'!$D$20</f>
        <v/>
      </c>
      <c r="M48" s="7">
        <f>(E48-'Model Coefficients'!$C$21)/'Model Coefficients'!$D$21</f>
        <v/>
      </c>
      <c r="N48" s="7">
        <f>(F48-'Model Coefficients'!$C$22)/'Model Coefficients'!$D$22</f>
        <v/>
      </c>
      <c r="O48" s="7">
        <f>(G48-'Model Coefficients'!$C$23)/'Model Coefficients'!$D$23</f>
        <v/>
      </c>
      <c r="P48" s="7">
        <f>(H48-'Model Coefficients'!$C$24)/'Model Coefficients'!$D$24</f>
        <v/>
      </c>
      <c r="Q48" s="7">
        <f>(I48-'Model Coefficients'!$C$25)/'Model Coefficients'!$D$25</f>
        <v/>
      </c>
      <c r="R48" s="7">
        <f>'Model Coefficients'!$C$6+'Model Coefficients'!$C$7*J48+'Model Coefficients'!$C$8*K48+'Model Coefficients'!$C$9*L48+'Model Coefficients'!$C$10*M48+'Model Coefficients'!$C$11*N48+'Model Coefficients'!$C$12*O48+'Model Coefficients'!$C$13*P48+'Model Coefficients'!$C$14*Q48</f>
        <v/>
      </c>
      <c r="S48" s="8">
        <f>1/(1+EXP(-R48))</f>
        <v/>
      </c>
      <c r="T48" s="6">
        <f>IF(S48&lt;0.15,"Low Risk",IF(S48&lt;0.35,"Medium Risk","High Risk"))</f>
        <v/>
      </c>
      <c r="U48" s="6" t="inlineStr">
        <is>
          <t>Repaid</t>
        </is>
      </c>
    </row>
    <row r="49">
      <c r="A49" s="6" t="inlineStr">
        <is>
          <t>MFI-0048</t>
        </is>
      </c>
      <c r="B49" s="6" t="n">
        <v>29.11</v>
      </c>
      <c r="C49" s="6" t="n">
        <v>24</v>
      </c>
      <c r="D49" s="6" t="n">
        <v>47</v>
      </c>
      <c r="E49" s="6" t="n">
        <v>107.42</v>
      </c>
      <c r="F49" s="6" t="n">
        <v>2</v>
      </c>
      <c r="G49" s="6" t="n">
        <v>3</v>
      </c>
      <c r="H49" s="6" t="n">
        <v>0</v>
      </c>
      <c r="I49" s="6" t="n">
        <v>1</v>
      </c>
      <c r="J49" s="7">
        <f>(B49-'Model Coefficients'!$C$18)/'Model Coefficients'!$D$18</f>
        <v/>
      </c>
      <c r="K49" s="7">
        <f>(C49-'Model Coefficients'!$C$19)/'Model Coefficients'!$D$19</f>
        <v/>
      </c>
      <c r="L49" s="7">
        <f>(D49-'Model Coefficients'!$C$20)/'Model Coefficients'!$D$20</f>
        <v/>
      </c>
      <c r="M49" s="7">
        <f>(E49-'Model Coefficients'!$C$21)/'Model Coefficients'!$D$21</f>
        <v/>
      </c>
      <c r="N49" s="7">
        <f>(F49-'Model Coefficients'!$C$22)/'Model Coefficients'!$D$22</f>
        <v/>
      </c>
      <c r="O49" s="7">
        <f>(G49-'Model Coefficients'!$C$23)/'Model Coefficients'!$D$23</f>
        <v/>
      </c>
      <c r="P49" s="7">
        <f>(H49-'Model Coefficients'!$C$24)/'Model Coefficients'!$D$24</f>
        <v/>
      </c>
      <c r="Q49" s="7">
        <f>(I49-'Model Coefficients'!$C$25)/'Model Coefficients'!$D$25</f>
        <v/>
      </c>
      <c r="R49" s="7">
        <f>'Model Coefficients'!$C$6+'Model Coefficients'!$C$7*J49+'Model Coefficients'!$C$8*K49+'Model Coefficients'!$C$9*L49+'Model Coefficients'!$C$10*M49+'Model Coefficients'!$C$11*N49+'Model Coefficients'!$C$12*O49+'Model Coefficients'!$C$13*P49+'Model Coefficients'!$C$14*Q49</f>
        <v/>
      </c>
      <c r="S49" s="8">
        <f>1/(1+EXP(-R49))</f>
        <v/>
      </c>
      <c r="T49" s="6">
        <f>IF(S49&lt;0.15,"Low Risk",IF(S49&lt;0.35,"Medium Risk","High Risk"))</f>
        <v/>
      </c>
      <c r="U49" s="6" t="inlineStr">
        <is>
          <t>Defaulted</t>
        </is>
      </c>
    </row>
    <row r="50">
      <c r="A50" s="6" t="inlineStr">
        <is>
          <t>MFI-0049</t>
        </is>
      </c>
      <c r="B50" s="6" t="n">
        <v>159.08</v>
      </c>
      <c r="C50" s="6" t="n">
        <v>18</v>
      </c>
      <c r="D50" s="6" t="n">
        <v>20</v>
      </c>
      <c r="E50" s="6" t="n">
        <v>43.77</v>
      </c>
      <c r="F50" s="6" t="n">
        <v>2</v>
      </c>
      <c r="G50" s="6" t="n">
        <v>3</v>
      </c>
      <c r="H50" s="6" t="n">
        <v>1</v>
      </c>
      <c r="I50" s="6" t="n">
        <v>0</v>
      </c>
      <c r="J50" s="7">
        <f>(B50-'Model Coefficients'!$C$18)/'Model Coefficients'!$D$18</f>
        <v/>
      </c>
      <c r="K50" s="7">
        <f>(C50-'Model Coefficients'!$C$19)/'Model Coefficients'!$D$19</f>
        <v/>
      </c>
      <c r="L50" s="7">
        <f>(D50-'Model Coefficients'!$C$20)/'Model Coefficients'!$D$20</f>
        <v/>
      </c>
      <c r="M50" s="7">
        <f>(E50-'Model Coefficients'!$C$21)/'Model Coefficients'!$D$21</f>
        <v/>
      </c>
      <c r="N50" s="7">
        <f>(F50-'Model Coefficients'!$C$22)/'Model Coefficients'!$D$22</f>
        <v/>
      </c>
      <c r="O50" s="7">
        <f>(G50-'Model Coefficients'!$C$23)/'Model Coefficients'!$D$23</f>
        <v/>
      </c>
      <c r="P50" s="7">
        <f>(H50-'Model Coefficients'!$C$24)/'Model Coefficients'!$D$24</f>
        <v/>
      </c>
      <c r="Q50" s="7">
        <f>(I50-'Model Coefficients'!$C$25)/'Model Coefficients'!$D$25</f>
        <v/>
      </c>
      <c r="R50" s="7">
        <f>'Model Coefficients'!$C$6+'Model Coefficients'!$C$7*J50+'Model Coefficients'!$C$8*K50+'Model Coefficients'!$C$9*L50+'Model Coefficients'!$C$10*M50+'Model Coefficients'!$C$11*N50+'Model Coefficients'!$C$12*O50+'Model Coefficients'!$C$13*P50+'Model Coefficients'!$C$14*Q50</f>
        <v/>
      </c>
      <c r="S50" s="8">
        <f>1/(1+EXP(-R50))</f>
        <v/>
      </c>
      <c r="T50" s="6">
        <f>IF(S50&lt;0.15,"Low Risk",IF(S50&lt;0.35,"Medium Risk","High Risk"))</f>
        <v/>
      </c>
      <c r="U50" s="6" t="inlineStr">
        <is>
          <t>Repaid</t>
        </is>
      </c>
    </row>
    <row r="51">
      <c r="A51" s="6" t="inlineStr">
        <is>
          <t>MFI-0050</t>
        </is>
      </c>
      <c r="B51" s="6" t="n">
        <v>151.13</v>
      </c>
      <c r="C51" s="6" t="n">
        <v>12</v>
      </c>
      <c r="D51" s="6" t="n">
        <v>58</v>
      </c>
      <c r="E51" s="6" t="n">
        <v>104.67</v>
      </c>
      <c r="F51" s="6" t="n">
        <v>5</v>
      </c>
      <c r="G51" s="6" t="n">
        <v>5</v>
      </c>
      <c r="H51" s="6" t="n">
        <v>0</v>
      </c>
      <c r="I51" s="6" t="n">
        <v>1</v>
      </c>
      <c r="J51" s="7">
        <f>(B51-'Model Coefficients'!$C$18)/'Model Coefficients'!$D$18</f>
        <v/>
      </c>
      <c r="K51" s="7">
        <f>(C51-'Model Coefficients'!$C$19)/'Model Coefficients'!$D$19</f>
        <v/>
      </c>
      <c r="L51" s="7">
        <f>(D51-'Model Coefficients'!$C$20)/'Model Coefficients'!$D$20</f>
        <v/>
      </c>
      <c r="M51" s="7">
        <f>(E51-'Model Coefficients'!$C$21)/'Model Coefficients'!$D$21</f>
        <v/>
      </c>
      <c r="N51" s="7">
        <f>(F51-'Model Coefficients'!$C$22)/'Model Coefficients'!$D$22</f>
        <v/>
      </c>
      <c r="O51" s="7">
        <f>(G51-'Model Coefficients'!$C$23)/'Model Coefficients'!$D$23</f>
        <v/>
      </c>
      <c r="P51" s="7">
        <f>(H51-'Model Coefficients'!$C$24)/'Model Coefficients'!$D$24</f>
        <v/>
      </c>
      <c r="Q51" s="7">
        <f>(I51-'Model Coefficients'!$C$25)/'Model Coefficients'!$D$25</f>
        <v/>
      </c>
      <c r="R51" s="7">
        <f>'Model Coefficients'!$C$6+'Model Coefficients'!$C$7*J51+'Model Coefficients'!$C$8*K51+'Model Coefficients'!$C$9*L51+'Model Coefficients'!$C$10*M51+'Model Coefficients'!$C$11*N51+'Model Coefficients'!$C$12*O51+'Model Coefficients'!$C$13*P51+'Model Coefficients'!$C$14*Q51</f>
        <v/>
      </c>
      <c r="S51" s="8">
        <f>1/(1+EXP(-R51))</f>
        <v/>
      </c>
      <c r="T51" s="6">
        <f>IF(S51&lt;0.15,"Low Risk",IF(S51&lt;0.35,"Medium Risk","High Risk"))</f>
        <v/>
      </c>
      <c r="U51" s="6" t="inlineStr">
        <is>
          <t>Repaid</t>
        </is>
      </c>
    </row>
    <row r="52">
      <c r="A52" s="6" t="inlineStr">
        <is>
          <t>MFI-0051</t>
        </is>
      </c>
      <c r="B52" s="6" t="n">
        <v>55.75</v>
      </c>
      <c r="C52" s="6" t="n">
        <v>18</v>
      </c>
      <c r="D52" s="6" t="n">
        <v>36</v>
      </c>
      <c r="E52" s="6" t="n">
        <v>76.76000000000001</v>
      </c>
      <c r="F52" s="6" t="n">
        <v>5</v>
      </c>
      <c r="G52" s="6" t="n">
        <v>0</v>
      </c>
      <c r="H52" s="6" t="n">
        <v>0</v>
      </c>
      <c r="I52" s="6" t="n">
        <v>0</v>
      </c>
      <c r="J52" s="7">
        <f>(B52-'Model Coefficients'!$C$18)/'Model Coefficients'!$D$18</f>
        <v/>
      </c>
      <c r="K52" s="7">
        <f>(C52-'Model Coefficients'!$C$19)/'Model Coefficients'!$D$19</f>
        <v/>
      </c>
      <c r="L52" s="7">
        <f>(D52-'Model Coefficients'!$C$20)/'Model Coefficients'!$D$20</f>
        <v/>
      </c>
      <c r="M52" s="7">
        <f>(E52-'Model Coefficients'!$C$21)/'Model Coefficients'!$D$21</f>
        <v/>
      </c>
      <c r="N52" s="7">
        <f>(F52-'Model Coefficients'!$C$22)/'Model Coefficients'!$D$22</f>
        <v/>
      </c>
      <c r="O52" s="7">
        <f>(G52-'Model Coefficients'!$C$23)/'Model Coefficients'!$D$23</f>
        <v/>
      </c>
      <c r="P52" s="7">
        <f>(H52-'Model Coefficients'!$C$24)/'Model Coefficients'!$D$24</f>
        <v/>
      </c>
      <c r="Q52" s="7">
        <f>(I52-'Model Coefficients'!$C$25)/'Model Coefficients'!$D$25</f>
        <v/>
      </c>
      <c r="R52" s="7">
        <f>'Model Coefficients'!$C$6+'Model Coefficients'!$C$7*J52+'Model Coefficients'!$C$8*K52+'Model Coefficients'!$C$9*L52+'Model Coefficients'!$C$10*M52+'Model Coefficients'!$C$11*N52+'Model Coefficients'!$C$12*O52+'Model Coefficients'!$C$13*P52+'Model Coefficients'!$C$14*Q52</f>
        <v/>
      </c>
      <c r="S52" s="8">
        <f>1/(1+EXP(-R52))</f>
        <v/>
      </c>
      <c r="T52" s="6">
        <f>IF(S52&lt;0.15,"Low Risk",IF(S52&lt;0.35,"Medium Risk","High Risk"))</f>
        <v/>
      </c>
      <c r="U52" s="6" t="inlineStr">
        <is>
          <t>Defaulted</t>
        </is>
      </c>
    </row>
    <row r="53">
      <c r="A53" s="6" t="inlineStr">
        <is>
          <t>MFI-0052</t>
        </is>
      </c>
      <c r="B53" s="6" t="n">
        <v>92.12</v>
      </c>
      <c r="C53" s="6" t="n">
        <v>24</v>
      </c>
      <c r="D53" s="6" t="n">
        <v>40</v>
      </c>
      <c r="E53" s="6" t="n">
        <v>15.02</v>
      </c>
      <c r="F53" s="6" t="n">
        <v>5</v>
      </c>
      <c r="G53" s="6" t="n">
        <v>0</v>
      </c>
      <c r="H53" s="6" t="n">
        <v>0</v>
      </c>
      <c r="I53" s="6" t="n">
        <v>0</v>
      </c>
      <c r="J53" s="7">
        <f>(B53-'Model Coefficients'!$C$18)/'Model Coefficients'!$D$18</f>
        <v/>
      </c>
      <c r="K53" s="7">
        <f>(C53-'Model Coefficients'!$C$19)/'Model Coefficients'!$D$19</f>
        <v/>
      </c>
      <c r="L53" s="7">
        <f>(D53-'Model Coefficients'!$C$20)/'Model Coefficients'!$D$20</f>
        <v/>
      </c>
      <c r="M53" s="7">
        <f>(E53-'Model Coefficients'!$C$21)/'Model Coefficients'!$D$21</f>
        <v/>
      </c>
      <c r="N53" s="7">
        <f>(F53-'Model Coefficients'!$C$22)/'Model Coefficients'!$D$22</f>
        <v/>
      </c>
      <c r="O53" s="7">
        <f>(G53-'Model Coefficients'!$C$23)/'Model Coefficients'!$D$23</f>
        <v/>
      </c>
      <c r="P53" s="7">
        <f>(H53-'Model Coefficients'!$C$24)/'Model Coefficients'!$D$24</f>
        <v/>
      </c>
      <c r="Q53" s="7">
        <f>(I53-'Model Coefficients'!$C$25)/'Model Coefficients'!$D$25</f>
        <v/>
      </c>
      <c r="R53" s="7">
        <f>'Model Coefficients'!$C$6+'Model Coefficients'!$C$7*J53+'Model Coefficients'!$C$8*K53+'Model Coefficients'!$C$9*L53+'Model Coefficients'!$C$10*M53+'Model Coefficients'!$C$11*N53+'Model Coefficients'!$C$12*O53+'Model Coefficients'!$C$13*P53+'Model Coefficients'!$C$14*Q53</f>
        <v/>
      </c>
      <c r="S53" s="8">
        <f>1/(1+EXP(-R53))</f>
        <v/>
      </c>
      <c r="T53" s="6">
        <f>IF(S53&lt;0.15,"Low Risk",IF(S53&lt;0.35,"Medium Risk","High Risk"))</f>
        <v/>
      </c>
      <c r="U53" s="6" t="inlineStr">
        <is>
          <t>Defaulted</t>
        </is>
      </c>
    </row>
    <row r="54">
      <c r="A54" s="6" t="inlineStr">
        <is>
          <t>MFI-0053</t>
        </is>
      </c>
      <c r="B54" s="6" t="n">
        <v>20.89</v>
      </c>
      <c r="C54" s="6" t="n">
        <v>6</v>
      </c>
      <c r="D54" s="6" t="n">
        <v>57</v>
      </c>
      <c r="E54" s="6" t="n">
        <v>35.7</v>
      </c>
      <c r="F54" s="6" t="n">
        <v>4</v>
      </c>
      <c r="G54" s="6" t="n">
        <v>1</v>
      </c>
      <c r="H54" s="6" t="n">
        <v>1</v>
      </c>
      <c r="I54" s="6" t="n">
        <v>1</v>
      </c>
      <c r="J54" s="7">
        <f>(B54-'Model Coefficients'!$C$18)/'Model Coefficients'!$D$18</f>
        <v/>
      </c>
      <c r="K54" s="7">
        <f>(C54-'Model Coefficients'!$C$19)/'Model Coefficients'!$D$19</f>
        <v/>
      </c>
      <c r="L54" s="7">
        <f>(D54-'Model Coefficients'!$C$20)/'Model Coefficients'!$D$20</f>
        <v/>
      </c>
      <c r="M54" s="7">
        <f>(E54-'Model Coefficients'!$C$21)/'Model Coefficients'!$D$21</f>
        <v/>
      </c>
      <c r="N54" s="7">
        <f>(F54-'Model Coefficients'!$C$22)/'Model Coefficients'!$D$22</f>
        <v/>
      </c>
      <c r="O54" s="7">
        <f>(G54-'Model Coefficients'!$C$23)/'Model Coefficients'!$D$23</f>
        <v/>
      </c>
      <c r="P54" s="7">
        <f>(H54-'Model Coefficients'!$C$24)/'Model Coefficients'!$D$24</f>
        <v/>
      </c>
      <c r="Q54" s="7">
        <f>(I54-'Model Coefficients'!$C$25)/'Model Coefficients'!$D$25</f>
        <v/>
      </c>
      <c r="R54" s="7">
        <f>'Model Coefficients'!$C$6+'Model Coefficients'!$C$7*J54+'Model Coefficients'!$C$8*K54+'Model Coefficients'!$C$9*L54+'Model Coefficients'!$C$10*M54+'Model Coefficients'!$C$11*N54+'Model Coefficients'!$C$12*O54+'Model Coefficients'!$C$13*P54+'Model Coefficients'!$C$14*Q54</f>
        <v/>
      </c>
      <c r="S54" s="8">
        <f>1/(1+EXP(-R54))</f>
        <v/>
      </c>
      <c r="T54" s="6">
        <f>IF(S54&lt;0.15,"Low Risk",IF(S54&lt;0.35,"Medium Risk","High Risk"))</f>
        <v/>
      </c>
      <c r="U54" s="6" t="inlineStr">
        <is>
          <t>Repaid</t>
        </is>
      </c>
    </row>
    <row r="55">
      <c r="A55" s="6" t="inlineStr">
        <is>
          <t>MFI-0054</t>
        </is>
      </c>
      <c r="B55" s="6" t="n">
        <v>126.7</v>
      </c>
      <c r="C55" s="6" t="n">
        <v>6</v>
      </c>
      <c r="D55" s="6" t="n">
        <v>20</v>
      </c>
      <c r="E55" s="6" t="n">
        <v>96.86</v>
      </c>
      <c r="F55" s="6" t="n">
        <v>0</v>
      </c>
      <c r="G55" s="6" t="n">
        <v>1</v>
      </c>
      <c r="H55" s="6" t="n">
        <v>0</v>
      </c>
      <c r="I55" s="6" t="n">
        <v>1</v>
      </c>
      <c r="J55" s="7">
        <f>(B55-'Model Coefficients'!$C$18)/'Model Coefficients'!$D$18</f>
        <v/>
      </c>
      <c r="K55" s="7">
        <f>(C55-'Model Coefficients'!$C$19)/'Model Coefficients'!$D$19</f>
        <v/>
      </c>
      <c r="L55" s="7">
        <f>(D55-'Model Coefficients'!$C$20)/'Model Coefficients'!$D$20</f>
        <v/>
      </c>
      <c r="M55" s="7">
        <f>(E55-'Model Coefficients'!$C$21)/'Model Coefficients'!$D$21</f>
        <v/>
      </c>
      <c r="N55" s="7">
        <f>(F55-'Model Coefficients'!$C$22)/'Model Coefficients'!$D$22</f>
        <v/>
      </c>
      <c r="O55" s="7">
        <f>(G55-'Model Coefficients'!$C$23)/'Model Coefficients'!$D$23</f>
        <v/>
      </c>
      <c r="P55" s="7">
        <f>(H55-'Model Coefficients'!$C$24)/'Model Coefficients'!$D$24</f>
        <v/>
      </c>
      <c r="Q55" s="7">
        <f>(I55-'Model Coefficients'!$C$25)/'Model Coefficients'!$D$25</f>
        <v/>
      </c>
      <c r="R55" s="7">
        <f>'Model Coefficients'!$C$6+'Model Coefficients'!$C$7*J55+'Model Coefficients'!$C$8*K55+'Model Coefficients'!$C$9*L55+'Model Coefficients'!$C$10*M55+'Model Coefficients'!$C$11*N55+'Model Coefficients'!$C$12*O55+'Model Coefficients'!$C$13*P55+'Model Coefficients'!$C$14*Q55</f>
        <v/>
      </c>
      <c r="S55" s="8">
        <f>1/(1+EXP(-R55))</f>
        <v/>
      </c>
      <c r="T55" s="6">
        <f>IF(S55&lt;0.15,"Low Risk",IF(S55&lt;0.35,"Medium Risk","High Risk"))</f>
        <v/>
      </c>
      <c r="U55" s="6" t="inlineStr">
        <is>
          <t>Repaid</t>
        </is>
      </c>
    </row>
    <row r="56">
      <c r="A56" s="6" t="inlineStr">
        <is>
          <t>MFI-0055</t>
        </is>
      </c>
      <c r="B56" s="6" t="n">
        <v>181.24</v>
      </c>
      <c r="C56" s="6" t="n">
        <v>24</v>
      </c>
      <c r="D56" s="6" t="n">
        <v>24</v>
      </c>
      <c r="E56" s="6" t="n">
        <v>50.93</v>
      </c>
      <c r="F56" s="6" t="n">
        <v>1</v>
      </c>
      <c r="G56" s="6" t="n">
        <v>1</v>
      </c>
      <c r="H56" s="6" t="n">
        <v>0</v>
      </c>
      <c r="I56" s="6" t="n">
        <v>0</v>
      </c>
      <c r="J56" s="7">
        <f>(B56-'Model Coefficients'!$C$18)/'Model Coefficients'!$D$18</f>
        <v/>
      </c>
      <c r="K56" s="7">
        <f>(C56-'Model Coefficients'!$C$19)/'Model Coefficients'!$D$19</f>
        <v/>
      </c>
      <c r="L56" s="7">
        <f>(D56-'Model Coefficients'!$C$20)/'Model Coefficients'!$D$20</f>
        <v/>
      </c>
      <c r="M56" s="7">
        <f>(E56-'Model Coefficients'!$C$21)/'Model Coefficients'!$D$21</f>
        <v/>
      </c>
      <c r="N56" s="7">
        <f>(F56-'Model Coefficients'!$C$22)/'Model Coefficients'!$D$22</f>
        <v/>
      </c>
      <c r="O56" s="7">
        <f>(G56-'Model Coefficients'!$C$23)/'Model Coefficients'!$D$23</f>
        <v/>
      </c>
      <c r="P56" s="7">
        <f>(H56-'Model Coefficients'!$C$24)/'Model Coefficients'!$D$24</f>
        <v/>
      </c>
      <c r="Q56" s="7">
        <f>(I56-'Model Coefficients'!$C$25)/'Model Coefficients'!$D$25</f>
        <v/>
      </c>
      <c r="R56" s="7">
        <f>'Model Coefficients'!$C$6+'Model Coefficients'!$C$7*J56+'Model Coefficients'!$C$8*K56+'Model Coefficients'!$C$9*L56+'Model Coefficients'!$C$10*M56+'Model Coefficients'!$C$11*N56+'Model Coefficients'!$C$12*O56+'Model Coefficients'!$C$13*P56+'Model Coefficients'!$C$14*Q56</f>
        <v/>
      </c>
      <c r="S56" s="8">
        <f>1/(1+EXP(-R56))</f>
        <v/>
      </c>
      <c r="T56" s="6">
        <f>IF(S56&lt;0.15,"Low Risk",IF(S56&lt;0.35,"Medium Risk","High Risk"))</f>
        <v/>
      </c>
      <c r="U56" s="6" t="inlineStr">
        <is>
          <t>Defaulted</t>
        </is>
      </c>
    </row>
    <row r="57">
      <c r="A57" s="6" t="inlineStr">
        <is>
          <t>MFI-0056</t>
        </is>
      </c>
      <c r="B57" s="6" t="n">
        <v>139.64</v>
      </c>
      <c r="C57" s="6" t="n">
        <v>6</v>
      </c>
      <c r="D57" s="6" t="n">
        <v>53</v>
      </c>
      <c r="E57" s="6" t="n">
        <v>103.52</v>
      </c>
      <c r="F57" s="6" t="n">
        <v>3</v>
      </c>
      <c r="G57" s="6" t="n">
        <v>2</v>
      </c>
      <c r="H57" s="6" t="n">
        <v>1</v>
      </c>
      <c r="I57" s="6" t="n">
        <v>0</v>
      </c>
      <c r="J57" s="7">
        <f>(B57-'Model Coefficients'!$C$18)/'Model Coefficients'!$D$18</f>
        <v/>
      </c>
      <c r="K57" s="7">
        <f>(C57-'Model Coefficients'!$C$19)/'Model Coefficients'!$D$19</f>
        <v/>
      </c>
      <c r="L57" s="7">
        <f>(D57-'Model Coefficients'!$C$20)/'Model Coefficients'!$D$20</f>
        <v/>
      </c>
      <c r="M57" s="7">
        <f>(E57-'Model Coefficients'!$C$21)/'Model Coefficients'!$D$21</f>
        <v/>
      </c>
      <c r="N57" s="7">
        <f>(F57-'Model Coefficients'!$C$22)/'Model Coefficients'!$D$22</f>
        <v/>
      </c>
      <c r="O57" s="7">
        <f>(G57-'Model Coefficients'!$C$23)/'Model Coefficients'!$D$23</f>
        <v/>
      </c>
      <c r="P57" s="7">
        <f>(H57-'Model Coefficients'!$C$24)/'Model Coefficients'!$D$24</f>
        <v/>
      </c>
      <c r="Q57" s="7">
        <f>(I57-'Model Coefficients'!$C$25)/'Model Coefficients'!$D$25</f>
        <v/>
      </c>
      <c r="R57" s="7">
        <f>'Model Coefficients'!$C$6+'Model Coefficients'!$C$7*J57+'Model Coefficients'!$C$8*K57+'Model Coefficients'!$C$9*L57+'Model Coefficients'!$C$10*M57+'Model Coefficients'!$C$11*N57+'Model Coefficients'!$C$12*O57+'Model Coefficients'!$C$13*P57+'Model Coefficients'!$C$14*Q57</f>
        <v/>
      </c>
      <c r="S57" s="8">
        <f>1/(1+EXP(-R57))</f>
        <v/>
      </c>
      <c r="T57" s="6">
        <f>IF(S57&lt;0.15,"Low Risk",IF(S57&lt;0.35,"Medium Risk","High Risk"))</f>
        <v/>
      </c>
      <c r="U57" s="6" t="inlineStr">
        <is>
          <t>Repaid</t>
        </is>
      </c>
    </row>
    <row r="58">
      <c r="A58" s="6" t="inlineStr">
        <is>
          <t>MFI-0057</t>
        </is>
      </c>
      <c r="B58" s="6" t="n">
        <v>253.83</v>
      </c>
      <c r="C58" s="6" t="n">
        <v>18</v>
      </c>
      <c r="D58" s="6" t="n">
        <v>32</v>
      </c>
      <c r="E58" s="6" t="n">
        <v>78.28</v>
      </c>
      <c r="F58" s="6" t="n">
        <v>3</v>
      </c>
      <c r="G58" s="6" t="n">
        <v>3</v>
      </c>
      <c r="H58" s="6" t="n">
        <v>0</v>
      </c>
      <c r="I58" s="6" t="n">
        <v>1</v>
      </c>
      <c r="J58" s="7">
        <f>(B58-'Model Coefficients'!$C$18)/'Model Coefficients'!$D$18</f>
        <v/>
      </c>
      <c r="K58" s="7">
        <f>(C58-'Model Coefficients'!$C$19)/'Model Coefficients'!$D$19</f>
        <v/>
      </c>
      <c r="L58" s="7">
        <f>(D58-'Model Coefficients'!$C$20)/'Model Coefficients'!$D$20</f>
        <v/>
      </c>
      <c r="M58" s="7">
        <f>(E58-'Model Coefficients'!$C$21)/'Model Coefficients'!$D$21</f>
        <v/>
      </c>
      <c r="N58" s="7">
        <f>(F58-'Model Coefficients'!$C$22)/'Model Coefficients'!$D$22</f>
        <v/>
      </c>
      <c r="O58" s="7">
        <f>(G58-'Model Coefficients'!$C$23)/'Model Coefficients'!$D$23</f>
        <v/>
      </c>
      <c r="P58" s="7">
        <f>(H58-'Model Coefficients'!$C$24)/'Model Coefficients'!$D$24</f>
        <v/>
      </c>
      <c r="Q58" s="7">
        <f>(I58-'Model Coefficients'!$C$25)/'Model Coefficients'!$D$25</f>
        <v/>
      </c>
      <c r="R58" s="7">
        <f>'Model Coefficients'!$C$6+'Model Coefficients'!$C$7*J58+'Model Coefficients'!$C$8*K58+'Model Coefficients'!$C$9*L58+'Model Coefficients'!$C$10*M58+'Model Coefficients'!$C$11*N58+'Model Coefficients'!$C$12*O58+'Model Coefficients'!$C$13*P58+'Model Coefficients'!$C$14*Q58</f>
        <v/>
      </c>
      <c r="S58" s="8">
        <f>1/(1+EXP(-R58))</f>
        <v/>
      </c>
      <c r="T58" s="6">
        <f>IF(S58&lt;0.15,"Low Risk",IF(S58&lt;0.35,"Medium Risk","High Risk"))</f>
        <v/>
      </c>
      <c r="U58" s="6" t="inlineStr">
        <is>
          <t>Repaid</t>
        </is>
      </c>
    </row>
    <row r="59">
      <c r="A59" s="6" t="inlineStr">
        <is>
          <t>MFI-0058</t>
        </is>
      </c>
      <c r="B59" s="6" t="n">
        <v>192.62</v>
      </c>
      <c r="C59" s="6" t="n">
        <v>12</v>
      </c>
      <c r="D59" s="6" t="n">
        <v>53</v>
      </c>
      <c r="E59" s="6" t="n">
        <v>118.6</v>
      </c>
      <c r="F59" s="6" t="n">
        <v>1</v>
      </c>
      <c r="G59" s="6" t="n">
        <v>4</v>
      </c>
      <c r="H59" s="6" t="n">
        <v>1</v>
      </c>
      <c r="I59" s="6" t="n">
        <v>1</v>
      </c>
      <c r="J59" s="7">
        <f>(B59-'Model Coefficients'!$C$18)/'Model Coefficients'!$D$18</f>
        <v/>
      </c>
      <c r="K59" s="7">
        <f>(C59-'Model Coefficients'!$C$19)/'Model Coefficients'!$D$19</f>
        <v/>
      </c>
      <c r="L59" s="7">
        <f>(D59-'Model Coefficients'!$C$20)/'Model Coefficients'!$D$20</f>
        <v/>
      </c>
      <c r="M59" s="7">
        <f>(E59-'Model Coefficients'!$C$21)/'Model Coefficients'!$D$21</f>
        <v/>
      </c>
      <c r="N59" s="7">
        <f>(F59-'Model Coefficients'!$C$22)/'Model Coefficients'!$D$22</f>
        <v/>
      </c>
      <c r="O59" s="7">
        <f>(G59-'Model Coefficients'!$C$23)/'Model Coefficients'!$D$23</f>
        <v/>
      </c>
      <c r="P59" s="7">
        <f>(H59-'Model Coefficients'!$C$24)/'Model Coefficients'!$D$24</f>
        <v/>
      </c>
      <c r="Q59" s="7">
        <f>(I59-'Model Coefficients'!$C$25)/'Model Coefficients'!$D$25</f>
        <v/>
      </c>
      <c r="R59" s="7">
        <f>'Model Coefficients'!$C$6+'Model Coefficients'!$C$7*J59+'Model Coefficients'!$C$8*K59+'Model Coefficients'!$C$9*L59+'Model Coefficients'!$C$10*M59+'Model Coefficients'!$C$11*N59+'Model Coefficients'!$C$12*O59+'Model Coefficients'!$C$13*P59+'Model Coefficients'!$C$14*Q59</f>
        <v/>
      </c>
      <c r="S59" s="8">
        <f>1/(1+EXP(-R59))</f>
        <v/>
      </c>
      <c r="T59" s="6">
        <f>IF(S59&lt;0.15,"Low Risk",IF(S59&lt;0.35,"Medium Risk","High Risk"))</f>
        <v/>
      </c>
      <c r="U59" s="6" t="inlineStr">
        <is>
          <t>Repaid</t>
        </is>
      </c>
    </row>
    <row r="60">
      <c r="A60" s="6" t="inlineStr">
        <is>
          <t>MFI-0059</t>
        </is>
      </c>
      <c r="B60" s="6" t="n">
        <v>94.5</v>
      </c>
      <c r="C60" s="6" t="n">
        <v>24</v>
      </c>
      <c r="D60" s="6" t="n">
        <v>57</v>
      </c>
      <c r="E60" s="6" t="n">
        <v>95.2</v>
      </c>
      <c r="F60" s="6" t="n">
        <v>4</v>
      </c>
      <c r="G60" s="6" t="n">
        <v>4</v>
      </c>
      <c r="H60" s="6" t="n">
        <v>1</v>
      </c>
      <c r="I60" s="6" t="n">
        <v>1</v>
      </c>
      <c r="J60" s="7">
        <f>(B60-'Model Coefficients'!$C$18)/'Model Coefficients'!$D$18</f>
        <v/>
      </c>
      <c r="K60" s="7">
        <f>(C60-'Model Coefficients'!$C$19)/'Model Coefficients'!$D$19</f>
        <v/>
      </c>
      <c r="L60" s="7">
        <f>(D60-'Model Coefficients'!$C$20)/'Model Coefficients'!$D$20</f>
        <v/>
      </c>
      <c r="M60" s="7">
        <f>(E60-'Model Coefficients'!$C$21)/'Model Coefficients'!$D$21</f>
        <v/>
      </c>
      <c r="N60" s="7">
        <f>(F60-'Model Coefficients'!$C$22)/'Model Coefficients'!$D$22</f>
        <v/>
      </c>
      <c r="O60" s="7">
        <f>(G60-'Model Coefficients'!$C$23)/'Model Coefficients'!$D$23</f>
        <v/>
      </c>
      <c r="P60" s="7">
        <f>(H60-'Model Coefficients'!$C$24)/'Model Coefficients'!$D$24</f>
        <v/>
      </c>
      <c r="Q60" s="7">
        <f>(I60-'Model Coefficients'!$C$25)/'Model Coefficients'!$D$25</f>
        <v/>
      </c>
      <c r="R60" s="7">
        <f>'Model Coefficients'!$C$6+'Model Coefficients'!$C$7*J60+'Model Coefficients'!$C$8*K60+'Model Coefficients'!$C$9*L60+'Model Coefficients'!$C$10*M60+'Model Coefficients'!$C$11*N60+'Model Coefficients'!$C$12*O60+'Model Coefficients'!$C$13*P60+'Model Coefficients'!$C$14*Q60</f>
        <v/>
      </c>
      <c r="S60" s="8">
        <f>1/(1+EXP(-R60))</f>
        <v/>
      </c>
      <c r="T60" s="6">
        <f>IF(S60&lt;0.15,"Low Risk",IF(S60&lt;0.35,"Medium Risk","High Risk"))</f>
        <v/>
      </c>
      <c r="U60" s="6" t="inlineStr">
        <is>
          <t>Repaid</t>
        </is>
      </c>
    </row>
    <row r="61">
      <c r="A61" s="6" t="inlineStr">
        <is>
          <t>MFI-0060</t>
        </is>
      </c>
      <c r="B61" s="6" t="n">
        <v>247.09</v>
      </c>
      <c r="C61" s="6" t="n">
        <v>12</v>
      </c>
      <c r="D61" s="6" t="n">
        <v>33</v>
      </c>
      <c r="E61" s="6" t="n">
        <v>24.77</v>
      </c>
      <c r="F61" s="6" t="n">
        <v>4</v>
      </c>
      <c r="G61" s="6" t="n">
        <v>4</v>
      </c>
      <c r="H61" s="6" t="n">
        <v>1</v>
      </c>
      <c r="I61" s="6" t="n">
        <v>1</v>
      </c>
      <c r="J61" s="7">
        <f>(B61-'Model Coefficients'!$C$18)/'Model Coefficients'!$D$18</f>
        <v/>
      </c>
      <c r="K61" s="7">
        <f>(C61-'Model Coefficients'!$C$19)/'Model Coefficients'!$D$19</f>
        <v/>
      </c>
      <c r="L61" s="7">
        <f>(D61-'Model Coefficients'!$C$20)/'Model Coefficients'!$D$20</f>
        <v/>
      </c>
      <c r="M61" s="7">
        <f>(E61-'Model Coefficients'!$C$21)/'Model Coefficients'!$D$21</f>
        <v/>
      </c>
      <c r="N61" s="7">
        <f>(F61-'Model Coefficients'!$C$22)/'Model Coefficients'!$D$22</f>
        <v/>
      </c>
      <c r="O61" s="7">
        <f>(G61-'Model Coefficients'!$C$23)/'Model Coefficients'!$D$23</f>
        <v/>
      </c>
      <c r="P61" s="7">
        <f>(H61-'Model Coefficients'!$C$24)/'Model Coefficients'!$D$24</f>
        <v/>
      </c>
      <c r="Q61" s="7">
        <f>(I61-'Model Coefficients'!$C$25)/'Model Coefficients'!$D$25</f>
        <v/>
      </c>
      <c r="R61" s="7">
        <f>'Model Coefficients'!$C$6+'Model Coefficients'!$C$7*J61+'Model Coefficients'!$C$8*K61+'Model Coefficients'!$C$9*L61+'Model Coefficients'!$C$10*M61+'Model Coefficients'!$C$11*N61+'Model Coefficients'!$C$12*O61+'Model Coefficients'!$C$13*P61+'Model Coefficients'!$C$14*Q61</f>
        <v/>
      </c>
      <c r="S61" s="8">
        <f>1/(1+EXP(-R61))</f>
        <v/>
      </c>
      <c r="T61" s="6">
        <f>IF(S61&lt;0.15,"Low Risk",IF(S61&lt;0.35,"Medium Risk","High Risk"))</f>
        <v/>
      </c>
      <c r="U61" s="6" t="inlineStr">
        <is>
          <t>Repaid</t>
        </is>
      </c>
    </row>
    <row r="62">
      <c r="A62" s="6" t="inlineStr">
        <is>
          <t>MFI-0061</t>
        </is>
      </c>
      <c r="B62" s="6" t="n">
        <v>159.86</v>
      </c>
      <c r="C62" s="6" t="n">
        <v>6</v>
      </c>
      <c r="D62" s="6" t="n">
        <v>20</v>
      </c>
      <c r="E62" s="6" t="n">
        <v>102.97</v>
      </c>
      <c r="F62" s="6" t="n">
        <v>4</v>
      </c>
      <c r="G62" s="6" t="n">
        <v>3</v>
      </c>
      <c r="H62" s="6" t="n">
        <v>1</v>
      </c>
      <c r="I62" s="6" t="n">
        <v>1</v>
      </c>
      <c r="J62" s="7">
        <f>(B62-'Model Coefficients'!$C$18)/'Model Coefficients'!$D$18</f>
        <v/>
      </c>
      <c r="K62" s="7">
        <f>(C62-'Model Coefficients'!$C$19)/'Model Coefficients'!$D$19</f>
        <v/>
      </c>
      <c r="L62" s="7">
        <f>(D62-'Model Coefficients'!$C$20)/'Model Coefficients'!$D$20</f>
        <v/>
      </c>
      <c r="M62" s="7">
        <f>(E62-'Model Coefficients'!$C$21)/'Model Coefficients'!$D$21</f>
        <v/>
      </c>
      <c r="N62" s="7">
        <f>(F62-'Model Coefficients'!$C$22)/'Model Coefficients'!$D$22</f>
        <v/>
      </c>
      <c r="O62" s="7">
        <f>(G62-'Model Coefficients'!$C$23)/'Model Coefficients'!$D$23</f>
        <v/>
      </c>
      <c r="P62" s="7">
        <f>(H62-'Model Coefficients'!$C$24)/'Model Coefficients'!$D$24</f>
        <v/>
      </c>
      <c r="Q62" s="7">
        <f>(I62-'Model Coefficients'!$C$25)/'Model Coefficients'!$D$25</f>
        <v/>
      </c>
      <c r="R62" s="7">
        <f>'Model Coefficients'!$C$6+'Model Coefficients'!$C$7*J62+'Model Coefficients'!$C$8*K62+'Model Coefficients'!$C$9*L62+'Model Coefficients'!$C$10*M62+'Model Coefficients'!$C$11*N62+'Model Coefficients'!$C$12*O62+'Model Coefficients'!$C$13*P62+'Model Coefficients'!$C$14*Q62</f>
        <v/>
      </c>
      <c r="S62" s="8">
        <f>1/(1+EXP(-R62))</f>
        <v/>
      </c>
      <c r="T62" s="6">
        <f>IF(S62&lt;0.15,"Low Risk",IF(S62&lt;0.35,"Medium Risk","High Risk"))</f>
        <v/>
      </c>
      <c r="U62" s="6" t="inlineStr">
        <is>
          <t>Repaid</t>
        </is>
      </c>
    </row>
    <row r="63">
      <c r="A63" s="6" t="inlineStr">
        <is>
          <t>MFI-0062</t>
        </is>
      </c>
      <c r="B63" s="6" t="n">
        <v>232.47</v>
      </c>
      <c r="C63" s="6" t="n">
        <v>24</v>
      </c>
      <c r="D63" s="6" t="n">
        <v>47</v>
      </c>
      <c r="E63" s="6" t="n">
        <v>84.70999999999999</v>
      </c>
      <c r="F63" s="6" t="n">
        <v>4</v>
      </c>
      <c r="G63" s="6" t="n">
        <v>4</v>
      </c>
      <c r="H63" s="6" t="n">
        <v>1</v>
      </c>
      <c r="I63" s="6" t="n">
        <v>0</v>
      </c>
      <c r="J63" s="7">
        <f>(B63-'Model Coefficients'!$C$18)/'Model Coefficients'!$D$18</f>
        <v/>
      </c>
      <c r="K63" s="7">
        <f>(C63-'Model Coefficients'!$C$19)/'Model Coefficients'!$D$19</f>
        <v/>
      </c>
      <c r="L63" s="7">
        <f>(D63-'Model Coefficients'!$C$20)/'Model Coefficients'!$D$20</f>
        <v/>
      </c>
      <c r="M63" s="7">
        <f>(E63-'Model Coefficients'!$C$21)/'Model Coefficients'!$D$21</f>
        <v/>
      </c>
      <c r="N63" s="7">
        <f>(F63-'Model Coefficients'!$C$22)/'Model Coefficients'!$D$22</f>
        <v/>
      </c>
      <c r="O63" s="7">
        <f>(G63-'Model Coefficients'!$C$23)/'Model Coefficients'!$D$23</f>
        <v/>
      </c>
      <c r="P63" s="7">
        <f>(H63-'Model Coefficients'!$C$24)/'Model Coefficients'!$D$24</f>
        <v/>
      </c>
      <c r="Q63" s="7">
        <f>(I63-'Model Coefficients'!$C$25)/'Model Coefficients'!$D$25</f>
        <v/>
      </c>
      <c r="R63" s="7">
        <f>'Model Coefficients'!$C$6+'Model Coefficients'!$C$7*J63+'Model Coefficients'!$C$8*K63+'Model Coefficients'!$C$9*L63+'Model Coefficients'!$C$10*M63+'Model Coefficients'!$C$11*N63+'Model Coefficients'!$C$12*O63+'Model Coefficients'!$C$13*P63+'Model Coefficients'!$C$14*Q63</f>
        <v/>
      </c>
      <c r="S63" s="8">
        <f>1/(1+EXP(-R63))</f>
        <v/>
      </c>
      <c r="T63" s="6">
        <f>IF(S63&lt;0.15,"Low Risk",IF(S63&lt;0.35,"Medium Risk","High Risk"))</f>
        <v/>
      </c>
      <c r="U63" s="6" t="inlineStr">
        <is>
          <t>Repaid</t>
        </is>
      </c>
    </row>
    <row r="64">
      <c r="A64" s="6" t="inlineStr">
        <is>
          <t>MFI-0063</t>
        </is>
      </c>
      <c r="B64" s="6" t="n">
        <v>178.5</v>
      </c>
      <c r="C64" s="6" t="n">
        <v>6</v>
      </c>
      <c r="D64" s="6" t="n">
        <v>51</v>
      </c>
      <c r="E64" s="6" t="n">
        <v>38.11</v>
      </c>
      <c r="F64" s="6" t="n">
        <v>5</v>
      </c>
      <c r="G64" s="6" t="n">
        <v>5</v>
      </c>
      <c r="H64" s="6" t="n">
        <v>1</v>
      </c>
      <c r="I64" s="6" t="n">
        <v>1</v>
      </c>
      <c r="J64" s="7">
        <f>(B64-'Model Coefficients'!$C$18)/'Model Coefficients'!$D$18</f>
        <v/>
      </c>
      <c r="K64" s="7">
        <f>(C64-'Model Coefficients'!$C$19)/'Model Coefficients'!$D$19</f>
        <v/>
      </c>
      <c r="L64" s="7">
        <f>(D64-'Model Coefficients'!$C$20)/'Model Coefficients'!$D$20</f>
        <v/>
      </c>
      <c r="M64" s="7">
        <f>(E64-'Model Coefficients'!$C$21)/'Model Coefficients'!$D$21</f>
        <v/>
      </c>
      <c r="N64" s="7">
        <f>(F64-'Model Coefficients'!$C$22)/'Model Coefficients'!$D$22</f>
        <v/>
      </c>
      <c r="O64" s="7">
        <f>(G64-'Model Coefficients'!$C$23)/'Model Coefficients'!$D$23</f>
        <v/>
      </c>
      <c r="P64" s="7">
        <f>(H64-'Model Coefficients'!$C$24)/'Model Coefficients'!$D$24</f>
        <v/>
      </c>
      <c r="Q64" s="7">
        <f>(I64-'Model Coefficients'!$C$25)/'Model Coefficients'!$D$25</f>
        <v/>
      </c>
      <c r="R64" s="7">
        <f>'Model Coefficients'!$C$6+'Model Coefficients'!$C$7*J64+'Model Coefficients'!$C$8*K64+'Model Coefficients'!$C$9*L64+'Model Coefficients'!$C$10*M64+'Model Coefficients'!$C$11*N64+'Model Coefficients'!$C$12*O64+'Model Coefficients'!$C$13*P64+'Model Coefficients'!$C$14*Q64</f>
        <v/>
      </c>
      <c r="S64" s="8">
        <f>1/(1+EXP(-R64))</f>
        <v/>
      </c>
      <c r="T64" s="6">
        <f>IF(S64&lt;0.15,"Low Risk",IF(S64&lt;0.35,"Medium Risk","High Risk"))</f>
        <v/>
      </c>
      <c r="U64" s="6" t="inlineStr">
        <is>
          <t>Repaid</t>
        </is>
      </c>
    </row>
    <row r="65">
      <c r="A65" s="6" t="inlineStr">
        <is>
          <t>MFI-0064</t>
        </is>
      </c>
      <c r="B65" s="6" t="n">
        <v>142.48</v>
      </c>
      <c r="C65" s="6" t="n">
        <v>24</v>
      </c>
      <c r="D65" s="6" t="n">
        <v>25</v>
      </c>
      <c r="E65" s="6" t="n">
        <v>69.26000000000001</v>
      </c>
      <c r="F65" s="6" t="n">
        <v>5</v>
      </c>
      <c r="G65" s="6" t="n">
        <v>3</v>
      </c>
      <c r="H65" s="6" t="n">
        <v>0</v>
      </c>
      <c r="I65" s="6" t="n">
        <v>1</v>
      </c>
      <c r="J65" s="7">
        <f>(B65-'Model Coefficients'!$C$18)/'Model Coefficients'!$D$18</f>
        <v/>
      </c>
      <c r="K65" s="7">
        <f>(C65-'Model Coefficients'!$C$19)/'Model Coefficients'!$D$19</f>
        <v/>
      </c>
      <c r="L65" s="7">
        <f>(D65-'Model Coefficients'!$C$20)/'Model Coefficients'!$D$20</f>
        <v/>
      </c>
      <c r="M65" s="7">
        <f>(E65-'Model Coefficients'!$C$21)/'Model Coefficients'!$D$21</f>
        <v/>
      </c>
      <c r="N65" s="7">
        <f>(F65-'Model Coefficients'!$C$22)/'Model Coefficients'!$D$22</f>
        <v/>
      </c>
      <c r="O65" s="7">
        <f>(G65-'Model Coefficients'!$C$23)/'Model Coefficients'!$D$23</f>
        <v/>
      </c>
      <c r="P65" s="7">
        <f>(H65-'Model Coefficients'!$C$24)/'Model Coefficients'!$D$24</f>
        <v/>
      </c>
      <c r="Q65" s="7">
        <f>(I65-'Model Coefficients'!$C$25)/'Model Coefficients'!$D$25</f>
        <v/>
      </c>
      <c r="R65" s="7">
        <f>'Model Coefficients'!$C$6+'Model Coefficients'!$C$7*J65+'Model Coefficients'!$C$8*K65+'Model Coefficients'!$C$9*L65+'Model Coefficients'!$C$10*M65+'Model Coefficients'!$C$11*N65+'Model Coefficients'!$C$12*O65+'Model Coefficients'!$C$13*P65+'Model Coefficients'!$C$14*Q65</f>
        <v/>
      </c>
      <c r="S65" s="8">
        <f>1/(1+EXP(-R65))</f>
        <v/>
      </c>
      <c r="T65" s="6">
        <f>IF(S65&lt;0.15,"Low Risk",IF(S65&lt;0.35,"Medium Risk","High Risk"))</f>
        <v/>
      </c>
      <c r="U65" s="6" t="inlineStr">
        <is>
          <t>Repaid</t>
        </is>
      </c>
    </row>
    <row r="66">
      <c r="A66" s="6" t="inlineStr">
        <is>
          <t>MFI-0065</t>
        </is>
      </c>
      <c r="B66" s="6" t="n">
        <v>130.92</v>
      </c>
      <c r="C66" s="6" t="n">
        <v>6</v>
      </c>
      <c r="D66" s="6" t="n">
        <v>30</v>
      </c>
      <c r="E66" s="6" t="n">
        <v>31.84</v>
      </c>
      <c r="F66" s="6" t="n">
        <v>2</v>
      </c>
      <c r="G66" s="6" t="n">
        <v>4</v>
      </c>
      <c r="H66" s="6" t="n">
        <v>1</v>
      </c>
      <c r="I66" s="6" t="n">
        <v>1</v>
      </c>
      <c r="J66" s="7">
        <f>(B66-'Model Coefficients'!$C$18)/'Model Coefficients'!$D$18</f>
        <v/>
      </c>
      <c r="K66" s="7">
        <f>(C66-'Model Coefficients'!$C$19)/'Model Coefficients'!$D$19</f>
        <v/>
      </c>
      <c r="L66" s="7">
        <f>(D66-'Model Coefficients'!$C$20)/'Model Coefficients'!$D$20</f>
        <v/>
      </c>
      <c r="M66" s="7">
        <f>(E66-'Model Coefficients'!$C$21)/'Model Coefficients'!$D$21</f>
        <v/>
      </c>
      <c r="N66" s="7">
        <f>(F66-'Model Coefficients'!$C$22)/'Model Coefficients'!$D$22</f>
        <v/>
      </c>
      <c r="O66" s="7">
        <f>(G66-'Model Coefficients'!$C$23)/'Model Coefficients'!$D$23</f>
        <v/>
      </c>
      <c r="P66" s="7">
        <f>(H66-'Model Coefficients'!$C$24)/'Model Coefficients'!$D$24</f>
        <v/>
      </c>
      <c r="Q66" s="7">
        <f>(I66-'Model Coefficients'!$C$25)/'Model Coefficients'!$D$25</f>
        <v/>
      </c>
      <c r="R66" s="7">
        <f>'Model Coefficients'!$C$6+'Model Coefficients'!$C$7*J66+'Model Coefficients'!$C$8*K66+'Model Coefficients'!$C$9*L66+'Model Coefficients'!$C$10*M66+'Model Coefficients'!$C$11*N66+'Model Coefficients'!$C$12*O66+'Model Coefficients'!$C$13*P66+'Model Coefficients'!$C$14*Q66</f>
        <v/>
      </c>
      <c r="S66" s="8">
        <f>1/(1+EXP(-R66))</f>
        <v/>
      </c>
      <c r="T66" s="6">
        <f>IF(S66&lt;0.15,"Low Risk",IF(S66&lt;0.35,"Medium Risk","High Risk"))</f>
        <v/>
      </c>
      <c r="U66" s="6" t="inlineStr">
        <is>
          <t>Defaulted</t>
        </is>
      </c>
    </row>
    <row r="67">
      <c r="A67" s="6" t="inlineStr">
        <is>
          <t>MFI-0066</t>
        </is>
      </c>
      <c r="B67" s="6" t="n">
        <v>26.23</v>
      </c>
      <c r="C67" s="6" t="n">
        <v>18</v>
      </c>
      <c r="D67" s="6" t="n">
        <v>26</v>
      </c>
      <c r="E67" s="6" t="n">
        <v>54.17</v>
      </c>
      <c r="F67" s="6" t="n">
        <v>0</v>
      </c>
      <c r="G67" s="6" t="n">
        <v>3</v>
      </c>
      <c r="H67" s="6" t="n">
        <v>1</v>
      </c>
      <c r="I67" s="6" t="n">
        <v>1</v>
      </c>
      <c r="J67" s="7">
        <f>(B67-'Model Coefficients'!$C$18)/'Model Coefficients'!$D$18</f>
        <v/>
      </c>
      <c r="K67" s="7">
        <f>(C67-'Model Coefficients'!$C$19)/'Model Coefficients'!$D$19</f>
        <v/>
      </c>
      <c r="L67" s="7">
        <f>(D67-'Model Coefficients'!$C$20)/'Model Coefficients'!$D$20</f>
        <v/>
      </c>
      <c r="M67" s="7">
        <f>(E67-'Model Coefficients'!$C$21)/'Model Coefficients'!$D$21</f>
        <v/>
      </c>
      <c r="N67" s="7">
        <f>(F67-'Model Coefficients'!$C$22)/'Model Coefficients'!$D$22</f>
        <v/>
      </c>
      <c r="O67" s="7">
        <f>(G67-'Model Coefficients'!$C$23)/'Model Coefficients'!$D$23</f>
        <v/>
      </c>
      <c r="P67" s="7">
        <f>(H67-'Model Coefficients'!$C$24)/'Model Coefficients'!$D$24</f>
        <v/>
      </c>
      <c r="Q67" s="7">
        <f>(I67-'Model Coefficients'!$C$25)/'Model Coefficients'!$D$25</f>
        <v/>
      </c>
      <c r="R67" s="7">
        <f>'Model Coefficients'!$C$6+'Model Coefficients'!$C$7*J67+'Model Coefficients'!$C$8*K67+'Model Coefficients'!$C$9*L67+'Model Coefficients'!$C$10*M67+'Model Coefficients'!$C$11*N67+'Model Coefficients'!$C$12*O67+'Model Coefficients'!$C$13*P67+'Model Coefficients'!$C$14*Q67</f>
        <v/>
      </c>
      <c r="S67" s="8">
        <f>1/(1+EXP(-R67))</f>
        <v/>
      </c>
      <c r="T67" s="6">
        <f>IF(S67&lt;0.15,"Low Risk",IF(S67&lt;0.35,"Medium Risk","High Risk"))</f>
        <v/>
      </c>
      <c r="U67" s="6" t="inlineStr">
        <is>
          <t>Repaid</t>
        </is>
      </c>
    </row>
    <row r="68">
      <c r="A68" s="6" t="inlineStr">
        <is>
          <t>MFI-0067</t>
        </is>
      </c>
      <c r="B68" s="6" t="n">
        <v>151.42</v>
      </c>
      <c r="C68" s="6" t="n">
        <v>24</v>
      </c>
      <c r="D68" s="6" t="n">
        <v>44</v>
      </c>
      <c r="E68" s="6" t="n">
        <v>93.2</v>
      </c>
      <c r="F68" s="6" t="n">
        <v>5</v>
      </c>
      <c r="G68" s="6" t="n">
        <v>2</v>
      </c>
      <c r="H68" s="6" t="n">
        <v>0</v>
      </c>
      <c r="I68" s="6" t="n">
        <v>0</v>
      </c>
      <c r="J68" s="7">
        <f>(B68-'Model Coefficients'!$C$18)/'Model Coefficients'!$D$18</f>
        <v/>
      </c>
      <c r="K68" s="7">
        <f>(C68-'Model Coefficients'!$C$19)/'Model Coefficients'!$D$19</f>
        <v/>
      </c>
      <c r="L68" s="7">
        <f>(D68-'Model Coefficients'!$C$20)/'Model Coefficients'!$D$20</f>
        <v/>
      </c>
      <c r="M68" s="7">
        <f>(E68-'Model Coefficients'!$C$21)/'Model Coefficients'!$D$21</f>
        <v/>
      </c>
      <c r="N68" s="7">
        <f>(F68-'Model Coefficients'!$C$22)/'Model Coefficients'!$D$22</f>
        <v/>
      </c>
      <c r="O68" s="7">
        <f>(G68-'Model Coefficients'!$C$23)/'Model Coefficients'!$D$23</f>
        <v/>
      </c>
      <c r="P68" s="7">
        <f>(H68-'Model Coefficients'!$C$24)/'Model Coefficients'!$D$24</f>
        <v/>
      </c>
      <c r="Q68" s="7">
        <f>(I68-'Model Coefficients'!$C$25)/'Model Coefficients'!$D$25</f>
        <v/>
      </c>
      <c r="R68" s="7">
        <f>'Model Coefficients'!$C$6+'Model Coefficients'!$C$7*J68+'Model Coefficients'!$C$8*K68+'Model Coefficients'!$C$9*L68+'Model Coefficients'!$C$10*M68+'Model Coefficients'!$C$11*N68+'Model Coefficients'!$C$12*O68+'Model Coefficients'!$C$13*P68+'Model Coefficients'!$C$14*Q68</f>
        <v/>
      </c>
      <c r="S68" s="8">
        <f>1/(1+EXP(-R68))</f>
        <v/>
      </c>
      <c r="T68" s="6">
        <f>IF(S68&lt;0.15,"Low Risk",IF(S68&lt;0.35,"Medium Risk","High Risk"))</f>
        <v/>
      </c>
      <c r="U68" s="6" t="inlineStr">
        <is>
          <t>Defaulted</t>
        </is>
      </c>
    </row>
    <row r="69">
      <c r="A69" s="6" t="inlineStr">
        <is>
          <t>MFI-0068</t>
        </is>
      </c>
      <c r="B69" s="6" t="n">
        <v>194.6</v>
      </c>
      <c r="C69" s="6" t="n">
        <v>18</v>
      </c>
      <c r="D69" s="6" t="n">
        <v>48</v>
      </c>
      <c r="E69" s="6" t="n">
        <v>62.6</v>
      </c>
      <c r="F69" s="6" t="n">
        <v>2</v>
      </c>
      <c r="G69" s="6" t="n">
        <v>1</v>
      </c>
      <c r="H69" s="6" t="n">
        <v>0</v>
      </c>
      <c r="I69" s="6" t="n">
        <v>1</v>
      </c>
      <c r="J69" s="7">
        <f>(B69-'Model Coefficients'!$C$18)/'Model Coefficients'!$D$18</f>
        <v/>
      </c>
      <c r="K69" s="7">
        <f>(C69-'Model Coefficients'!$C$19)/'Model Coefficients'!$D$19</f>
        <v/>
      </c>
      <c r="L69" s="7">
        <f>(D69-'Model Coefficients'!$C$20)/'Model Coefficients'!$D$20</f>
        <v/>
      </c>
      <c r="M69" s="7">
        <f>(E69-'Model Coefficients'!$C$21)/'Model Coefficients'!$D$21</f>
        <v/>
      </c>
      <c r="N69" s="7">
        <f>(F69-'Model Coefficients'!$C$22)/'Model Coefficients'!$D$22</f>
        <v/>
      </c>
      <c r="O69" s="7">
        <f>(G69-'Model Coefficients'!$C$23)/'Model Coefficients'!$D$23</f>
        <v/>
      </c>
      <c r="P69" s="7">
        <f>(H69-'Model Coefficients'!$C$24)/'Model Coefficients'!$D$24</f>
        <v/>
      </c>
      <c r="Q69" s="7">
        <f>(I69-'Model Coefficients'!$C$25)/'Model Coefficients'!$D$25</f>
        <v/>
      </c>
      <c r="R69" s="7">
        <f>'Model Coefficients'!$C$6+'Model Coefficients'!$C$7*J69+'Model Coefficients'!$C$8*K69+'Model Coefficients'!$C$9*L69+'Model Coefficients'!$C$10*M69+'Model Coefficients'!$C$11*N69+'Model Coefficients'!$C$12*O69+'Model Coefficients'!$C$13*P69+'Model Coefficients'!$C$14*Q69</f>
        <v/>
      </c>
      <c r="S69" s="8">
        <f>1/(1+EXP(-R69))</f>
        <v/>
      </c>
      <c r="T69" s="6">
        <f>IF(S69&lt;0.15,"Low Risk",IF(S69&lt;0.35,"Medium Risk","High Risk"))</f>
        <v/>
      </c>
      <c r="U69" s="6" t="inlineStr">
        <is>
          <t>Defaulted</t>
        </is>
      </c>
    </row>
    <row r="70">
      <c r="A70" s="6" t="inlineStr">
        <is>
          <t>MFI-0069</t>
        </is>
      </c>
      <c r="B70" s="6" t="n">
        <v>284.91</v>
      </c>
      <c r="C70" s="6" t="n">
        <v>6</v>
      </c>
      <c r="D70" s="6" t="n">
        <v>21</v>
      </c>
      <c r="E70" s="6" t="n">
        <v>84.45</v>
      </c>
      <c r="F70" s="6" t="n">
        <v>3</v>
      </c>
      <c r="G70" s="6" t="n">
        <v>5</v>
      </c>
      <c r="H70" s="6" t="n">
        <v>0</v>
      </c>
      <c r="I70" s="6" t="n">
        <v>0</v>
      </c>
      <c r="J70" s="7">
        <f>(B70-'Model Coefficients'!$C$18)/'Model Coefficients'!$D$18</f>
        <v/>
      </c>
      <c r="K70" s="7">
        <f>(C70-'Model Coefficients'!$C$19)/'Model Coefficients'!$D$19</f>
        <v/>
      </c>
      <c r="L70" s="7">
        <f>(D70-'Model Coefficients'!$C$20)/'Model Coefficients'!$D$20</f>
        <v/>
      </c>
      <c r="M70" s="7">
        <f>(E70-'Model Coefficients'!$C$21)/'Model Coefficients'!$D$21</f>
        <v/>
      </c>
      <c r="N70" s="7">
        <f>(F70-'Model Coefficients'!$C$22)/'Model Coefficients'!$D$22</f>
        <v/>
      </c>
      <c r="O70" s="7">
        <f>(G70-'Model Coefficients'!$C$23)/'Model Coefficients'!$D$23</f>
        <v/>
      </c>
      <c r="P70" s="7">
        <f>(H70-'Model Coefficients'!$C$24)/'Model Coefficients'!$D$24</f>
        <v/>
      </c>
      <c r="Q70" s="7">
        <f>(I70-'Model Coefficients'!$C$25)/'Model Coefficients'!$D$25</f>
        <v/>
      </c>
      <c r="R70" s="7">
        <f>'Model Coefficients'!$C$6+'Model Coefficients'!$C$7*J70+'Model Coefficients'!$C$8*K70+'Model Coefficients'!$C$9*L70+'Model Coefficients'!$C$10*M70+'Model Coefficients'!$C$11*N70+'Model Coefficients'!$C$12*O70+'Model Coefficients'!$C$13*P70+'Model Coefficients'!$C$14*Q70</f>
        <v/>
      </c>
      <c r="S70" s="8">
        <f>1/(1+EXP(-R70))</f>
        <v/>
      </c>
      <c r="T70" s="6">
        <f>IF(S70&lt;0.15,"Low Risk",IF(S70&lt;0.35,"Medium Risk","High Risk"))</f>
        <v/>
      </c>
      <c r="U70" s="6" t="inlineStr">
        <is>
          <t>Repaid</t>
        </is>
      </c>
    </row>
    <row r="71">
      <c r="A71" s="6" t="inlineStr">
        <is>
          <t>MFI-0070</t>
        </is>
      </c>
      <c r="B71" s="6" t="n">
        <v>141.89</v>
      </c>
      <c r="C71" s="6" t="n">
        <v>18</v>
      </c>
      <c r="D71" s="6" t="n">
        <v>40</v>
      </c>
      <c r="E71" s="6" t="n">
        <v>109.43</v>
      </c>
      <c r="F71" s="6" t="n">
        <v>2</v>
      </c>
      <c r="G71" s="6" t="n">
        <v>5</v>
      </c>
      <c r="H71" s="6" t="n">
        <v>1</v>
      </c>
      <c r="I71" s="6" t="n">
        <v>1</v>
      </c>
      <c r="J71" s="7">
        <f>(B71-'Model Coefficients'!$C$18)/'Model Coefficients'!$D$18</f>
        <v/>
      </c>
      <c r="K71" s="7">
        <f>(C71-'Model Coefficients'!$C$19)/'Model Coefficients'!$D$19</f>
        <v/>
      </c>
      <c r="L71" s="7">
        <f>(D71-'Model Coefficients'!$C$20)/'Model Coefficients'!$D$20</f>
        <v/>
      </c>
      <c r="M71" s="7">
        <f>(E71-'Model Coefficients'!$C$21)/'Model Coefficients'!$D$21</f>
        <v/>
      </c>
      <c r="N71" s="7">
        <f>(F71-'Model Coefficients'!$C$22)/'Model Coefficients'!$D$22</f>
        <v/>
      </c>
      <c r="O71" s="7">
        <f>(G71-'Model Coefficients'!$C$23)/'Model Coefficients'!$D$23</f>
        <v/>
      </c>
      <c r="P71" s="7">
        <f>(H71-'Model Coefficients'!$C$24)/'Model Coefficients'!$D$24</f>
        <v/>
      </c>
      <c r="Q71" s="7">
        <f>(I71-'Model Coefficients'!$C$25)/'Model Coefficients'!$D$25</f>
        <v/>
      </c>
      <c r="R71" s="7">
        <f>'Model Coefficients'!$C$6+'Model Coefficients'!$C$7*J71+'Model Coefficients'!$C$8*K71+'Model Coefficients'!$C$9*L71+'Model Coefficients'!$C$10*M71+'Model Coefficients'!$C$11*N71+'Model Coefficients'!$C$12*O71+'Model Coefficients'!$C$13*P71+'Model Coefficients'!$C$14*Q71</f>
        <v/>
      </c>
      <c r="S71" s="8">
        <f>1/(1+EXP(-R71))</f>
        <v/>
      </c>
      <c r="T71" s="6">
        <f>IF(S71&lt;0.15,"Low Risk",IF(S71&lt;0.35,"Medium Risk","High Risk"))</f>
        <v/>
      </c>
      <c r="U71" s="6" t="inlineStr">
        <is>
          <t>Repaid</t>
        </is>
      </c>
    </row>
    <row r="72">
      <c r="A72" s="6" t="inlineStr">
        <is>
          <t>MFI-0071</t>
        </is>
      </c>
      <c r="B72" s="6" t="n">
        <v>155.98</v>
      </c>
      <c r="C72" s="6" t="n">
        <v>6</v>
      </c>
      <c r="D72" s="6" t="n">
        <v>49</v>
      </c>
      <c r="E72" s="6" t="n">
        <v>88.66</v>
      </c>
      <c r="F72" s="6" t="n">
        <v>4</v>
      </c>
      <c r="G72" s="6" t="n">
        <v>1</v>
      </c>
      <c r="H72" s="6" t="n">
        <v>1</v>
      </c>
      <c r="I72" s="6" t="n">
        <v>0</v>
      </c>
      <c r="J72" s="7">
        <f>(B72-'Model Coefficients'!$C$18)/'Model Coefficients'!$D$18</f>
        <v/>
      </c>
      <c r="K72" s="7">
        <f>(C72-'Model Coefficients'!$C$19)/'Model Coefficients'!$D$19</f>
        <v/>
      </c>
      <c r="L72" s="7">
        <f>(D72-'Model Coefficients'!$C$20)/'Model Coefficients'!$D$20</f>
        <v/>
      </c>
      <c r="M72" s="7">
        <f>(E72-'Model Coefficients'!$C$21)/'Model Coefficients'!$D$21</f>
        <v/>
      </c>
      <c r="N72" s="7">
        <f>(F72-'Model Coefficients'!$C$22)/'Model Coefficients'!$D$22</f>
        <v/>
      </c>
      <c r="O72" s="7">
        <f>(G72-'Model Coefficients'!$C$23)/'Model Coefficients'!$D$23</f>
        <v/>
      </c>
      <c r="P72" s="7">
        <f>(H72-'Model Coefficients'!$C$24)/'Model Coefficients'!$D$24</f>
        <v/>
      </c>
      <c r="Q72" s="7">
        <f>(I72-'Model Coefficients'!$C$25)/'Model Coefficients'!$D$25</f>
        <v/>
      </c>
      <c r="R72" s="7">
        <f>'Model Coefficients'!$C$6+'Model Coefficients'!$C$7*J72+'Model Coefficients'!$C$8*K72+'Model Coefficients'!$C$9*L72+'Model Coefficients'!$C$10*M72+'Model Coefficients'!$C$11*N72+'Model Coefficients'!$C$12*O72+'Model Coefficients'!$C$13*P72+'Model Coefficients'!$C$14*Q72</f>
        <v/>
      </c>
      <c r="S72" s="8">
        <f>1/(1+EXP(-R72))</f>
        <v/>
      </c>
      <c r="T72" s="6">
        <f>IF(S72&lt;0.15,"Low Risk",IF(S72&lt;0.35,"Medium Risk","High Risk"))</f>
        <v/>
      </c>
      <c r="U72" s="6" t="inlineStr">
        <is>
          <t>Repaid</t>
        </is>
      </c>
    </row>
    <row r="73">
      <c r="A73" s="6" t="inlineStr">
        <is>
          <t>MFI-0072</t>
        </is>
      </c>
      <c r="B73" s="6" t="n">
        <v>165.35</v>
      </c>
      <c r="C73" s="6" t="n">
        <v>24</v>
      </c>
      <c r="D73" s="6" t="n">
        <v>43</v>
      </c>
      <c r="E73" s="6" t="n">
        <v>24.67</v>
      </c>
      <c r="F73" s="6" t="n">
        <v>3</v>
      </c>
      <c r="G73" s="6" t="n">
        <v>2</v>
      </c>
      <c r="H73" s="6" t="n">
        <v>0</v>
      </c>
      <c r="I73" s="6" t="n">
        <v>1</v>
      </c>
      <c r="J73" s="7">
        <f>(B73-'Model Coefficients'!$C$18)/'Model Coefficients'!$D$18</f>
        <v/>
      </c>
      <c r="K73" s="7">
        <f>(C73-'Model Coefficients'!$C$19)/'Model Coefficients'!$D$19</f>
        <v/>
      </c>
      <c r="L73" s="7">
        <f>(D73-'Model Coefficients'!$C$20)/'Model Coefficients'!$D$20</f>
        <v/>
      </c>
      <c r="M73" s="7">
        <f>(E73-'Model Coefficients'!$C$21)/'Model Coefficients'!$D$21</f>
        <v/>
      </c>
      <c r="N73" s="7">
        <f>(F73-'Model Coefficients'!$C$22)/'Model Coefficients'!$D$22</f>
        <v/>
      </c>
      <c r="O73" s="7">
        <f>(G73-'Model Coefficients'!$C$23)/'Model Coefficients'!$D$23</f>
        <v/>
      </c>
      <c r="P73" s="7">
        <f>(H73-'Model Coefficients'!$C$24)/'Model Coefficients'!$D$24</f>
        <v/>
      </c>
      <c r="Q73" s="7">
        <f>(I73-'Model Coefficients'!$C$25)/'Model Coefficients'!$D$25</f>
        <v/>
      </c>
      <c r="R73" s="7">
        <f>'Model Coefficients'!$C$6+'Model Coefficients'!$C$7*J73+'Model Coefficients'!$C$8*K73+'Model Coefficients'!$C$9*L73+'Model Coefficients'!$C$10*M73+'Model Coefficients'!$C$11*N73+'Model Coefficients'!$C$12*O73+'Model Coefficients'!$C$13*P73+'Model Coefficients'!$C$14*Q73</f>
        <v/>
      </c>
      <c r="S73" s="8">
        <f>1/(1+EXP(-R73))</f>
        <v/>
      </c>
      <c r="T73" s="6">
        <f>IF(S73&lt;0.15,"Low Risk",IF(S73&lt;0.35,"Medium Risk","High Risk"))</f>
        <v/>
      </c>
      <c r="U73" s="6" t="inlineStr">
        <is>
          <t>Defaulted</t>
        </is>
      </c>
    </row>
    <row r="74">
      <c r="A74" s="6" t="inlineStr">
        <is>
          <t>MFI-0073</t>
        </is>
      </c>
      <c r="B74" s="6" t="n">
        <v>134.41</v>
      </c>
      <c r="C74" s="6" t="n">
        <v>6</v>
      </c>
      <c r="D74" s="6" t="n">
        <v>59</v>
      </c>
      <c r="E74" s="6" t="n">
        <v>58.31</v>
      </c>
      <c r="F74" s="6" t="n">
        <v>0</v>
      </c>
      <c r="G74" s="6" t="n">
        <v>3</v>
      </c>
      <c r="H74" s="6" t="n">
        <v>1</v>
      </c>
      <c r="I74" s="6" t="n">
        <v>1</v>
      </c>
      <c r="J74" s="7">
        <f>(B74-'Model Coefficients'!$C$18)/'Model Coefficients'!$D$18</f>
        <v/>
      </c>
      <c r="K74" s="7">
        <f>(C74-'Model Coefficients'!$C$19)/'Model Coefficients'!$D$19</f>
        <v/>
      </c>
      <c r="L74" s="7">
        <f>(D74-'Model Coefficients'!$C$20)/'Model Coefficients'!$D$20</f>
        <v/>
      </c>
      <c r="M74" s="7">
        <f>(E74-'Model Coefficients'!$C$21)/'Model Coefficients'!$D$21</f>
        <v/>
      </c>
      <c r="N74" s="7">
        <f>(F74-'Model Coefficients'!$C$22)/'Model Coefficients'!$D$22</f>
        <v/>
      </c>
      <c r="O74" s="7">
        <f>(G74-'Model Coefficients'!$C$23)/'Model Coefficients'!$D$23</f>
        <v/>
      </c>
      <c r="P74" s="7">
        <f>(H74-'Model Coefficients'!$C$24)/'Model Coefficients'!$D$24</f>
        <v/>
      </c>
      <c r="Q74" s="7">
        <f>(I74-'Model Coefficients'!$C$25)/'Model Coefficients'!$D$25</f>
        <v/>
      </c>
      <c r="R74" s="7">
        <f>'Model Coefficients'!$C$6+'Model Coefficients'!$C$7*J74+'Model Coefficients'!$C$8*K74+'Model Coefficients'!$C$9*L74+'Model Coefficients'!$C$10*M74+'Model Coefficients'!$C$11*N74+'Model Coefficients'!$C$12*O74+'Model Coefficients'!$C$13*P74+'Model Coefficients'!$C$14*Q74</f>
        <v/>
      </c>
      <c r="S74" s="8">
        <f>1/(1+EXP(-R74))</f>
        <v/>
      </c>
      <c r="T74" s="6">
        <f>IF(S74&lt;0.15,"Low Risk",IF(S74&lt;0.35,"Medium Risk","High Risk"))</f>
        <v/>
      </c>
      <c r="U74" s="6" t="inlineStr">
        <is>
          <t>Repaid</t>
        </is>
      </c>
    </row>
    <row r="75">
      <c r="A75" s="6" t="inlineStr">
        <is>
          <t>MFI-0074</t>
        </is>
      </c>
      <c r="B75" s="6" t="n">
        <v>182.06</v>
      </c>
      <c r="C75" s="6" t="n">
        <v>6</v>
      </c>
      <c r="D75" s="6" t="n">
        <v>40</v>
      </c>
      <c r="E75" s="6" t="n">
        <v>48.19</v>
      </c>
      <c r="F75" s="6" t="n">
        <v>3</v>
      </c>
      <c r="G75" s="6" t="n">
        <v>2</v>
      </c>
      <c r="H75" s="6" t="n">
        <v>0</v>
      </c>
      <c r="I75" s="6" t="n">
        <v>1</v>
      </c>
      <c r="J75" s="7">
        <f>(B75-'Model Coefficients'!$C$18)/'Model Coefficients'!$D$18</f>
        <v/>
      </c>
      <c r="K75" s="7">
        <f>(C75-'Model Coefficients'!$C$19)/'Model Coefficients'!$D$19</f>
        <v/>
      </c>
      <c r="L75" s="7">
        <f>(D75-'Model Coefficients'!$C$20)/'Model Coefficients'!$D$20</f>
        <v/>
      </c>
      <c r="M75" s="7">
        <f>(E75-'Model Coefficients'!$C$21)/'Model Coefficients'!$D$21</f>
        <v/>
      </c>
      <c r="N75" s="7">
        <f>(F75-'Model Coefficients'!$C$22)/'Model Coefficients'!$D$22</f>
        <v/>
      </c>
      <c r="O75" s="7">
        <f>(G75-'Model Coefficients'!$C$23)/'Model Coefficients'!$D$23</f>
        <v/>
      </c>
      <c r="P75" s="7">
        <f>(H75-'Model Coefficients'!$C$24)/'Model Coefficients'!$D$24</f>
        <v/>
      </c>
      <c r="Q75" s="7">
        <f>(I75-'Model Coefficients'!$C$25)/'Model Coefficients'!$D$25</f>
        <v/>
      </c>
      <c r="R75" s="7">
        <f>'Model Coefficients'!$C$6+'Model Coefficients'!$C$7*J75+'Model Coefficients'!$C$8*K75+'Model Coefficients'!$C$9*L75+'Model Coefficients'!$C$10*M75+'Model Coefficients'!$C$11*N75+'Model Coefficients'!$C$12*O75+'Model Coefficients'!$C$13*P75+'Model Coefficients'!$C$14*Q75</f>
        <v/>
      </c>
      <c r="S75" s="8">
        <f>1/(1+EXP(-R75))</f>
        <v/>
      </c>
      <c r="T75" s="6">
        <f>IF(S75&lt;0.15,"Low Risk",IF(S75&lt;0.35,"Medium Risk","High Risk"))</f>
        <v/>
      </c>
      <c r="U75" s="6" t="inlineStr">
        <is>
          <t>Repaid</t>
        </is>
      </c>
    </row>
    <row r="76">
      <c r="A76" s="6" t="inlineStr">
        <is>
          <t>MFI-0075</t>
        </is>
      </c>
      <c r="B76" s="6" t="n">
        <v>39.7</v>
      </c>
      <c r="C76" s="6" t="n">
        <v>18</v>
      </c>
      <c r="D76" s="6" t="n">
        <v>57</v>
      </c>
      <c r="E76" s="6" t="n">
        <v>65.23999999999999</v>
      </c>
      <c r="F76" s="6" t="n">
        <v>4</v>
      </c>
      <c r="G76" s="6" t="n">
        <v>3</v>
      </c>
      <c r="H76" s="6" t="n">
        <v>1</v>
      </c>
      <c r="I76" s="6" t="n">
        <v>1</v>
      </c>
      <c r="J76" s="7">
        <f>(B76-'Model Coefficients'!$C$18)/'Model Coefficients'!$D$18</f>
        <v/>
      </c>
      <c r="K76" s="7">
        <f>(C76-'Model Coefficients'!$C$19)/'Model Coefficients'!$D$19</f>
        <v/>
      </c>
      <c r="L76" s="7">
        <f>(D76-'Model Coefficients'!$C$20)/'Model Coefficients'!$D$20</f>
        <v/>
      </c>
      <c r="M76" s="7">
        <f>(E76-'Model Coefficients'!$C$21)/'Model Coefficients'!$D$21</f>
        <v/>
      </c>
      <c r="N76" s="7">
        <f>(F76-'Model Coefficients'!$C$22)/'Model Coefficients'!$D$22</f>
        <v/>
      </c>
      <c r="O76" s="7">
        <f>(G76-'Model Coefficients'!$C$23)/'Model Coefficients'!$D$23</f>
        <v/>
      </c>
      <c r="P76" s="7">
        <f>(H76-'Model Coefficients'!$C$24)/'Model Coefficients'!$D$24</f>
        <v/>
      </c>
      <c r="Q76" s="7">
        <f>(I76-'Model Coefficients'!$C$25)/'Model Coefficients'!$D$25</f>
        <v/>
      </c>
      <c r="R76" s="7">
        <f>'Model Coefficients'!$C$6+'Model Coefficients'!$C$7*J76+'Model Coefficients'!$C$8*K76+'Model Coefficients'!$C$9*L76+'Model Coefficients'!$C$10*M76+'Model Coefficients'!$C$11*N76+'Model Coefficients'!$C$12*O76+'Model Coefficients'!$C$13*P76+'Model Coefficients'!$C$14*Q76</f>
        <v/>
      </c>
      <c r="S76" s="8">
        <f>1/(1+EXP(-R76))</f>
        <v/>
      </c>
      <c r="T76" s="6">
        <f>IF(S76&lt;0.15,"Low Risk",IF(S76&lt;0.35,"Medium Risk","High Risk"))</f>
        <v/>
      </c>
      <c r="U76" s="6" t="inlineStr">
        <is>
          <t>Repaid</t>
        </is>
      </c>
    </row>
    <row r="77">
      <c r="A77" s="6" t="inlineStr">
        <is>
          <t>MFI-0076</t>
        </is>
      </c>
      <c r="B77" s="6" t="n">
        <v>156.75</v>
      </c>
      <c r="C77" s="6" t="n">
        <v>18</v>
      </c>
      <c r="D77" s="6" t="n">
        <v>57</v>
      </c>
      <c r="E77" s="6" t="n">
        <v>109.17</v>
      </c>
      <c r="F77" s="6" t="n">
        <v>3</v>
      </c>
      <c r="G77" s="6" t="n">
        <v>4</v>
      </c>
      <c r="H77" s="6" t="n">
        <v>0</v>
      </c>
      <c r="I77" s="6" t="n">
        <v>1</v>
      </c>
      <c r="J77" s="7">
        <f>(B77-'Model Coefficients'!$C$18)/'Model Coefficients'!$D$18</f>
        <v/>
      </c>
      <c r="K77" s="7">
        <f>(C77-'Model Coefficients'!$C$19)/'Model Coefficients'!$D$19</f>
        <v/>
      </c>
      <c r="L77" s="7">
        <f>(D77-'Model Coefficients'!$C$20)/'Model Coefficients'!$D$20</f>
        <v/>
      </c>
      <c r="M77" s="7">
        <f>(E77-'Model Coefficients'!$C$21)/'Model Coefficients'!$D$21</f>
        <v/>
      </c>
      <c r="N77" s="7">
        <f>(F77-'Model Coefficients'!$C$22)/'Model Coefficients'!$D$22</f>
        <v/>
      </c>
      <c r="O77" s="7">
        <f>(G77-'Model Coefficients'!$C$23)/'Model Coefficients'!$D$23</f>
        <v/>
      </c>
      <c r="P77" s="7">
        <f>(H77-'Model Coefficients'!$C$24)/'Model Coefficients'!$D$24</f>
        <v/>
      </c>
      <c r="Q77" s="7">
        <f>(I77-'Model Coefficients'!$C$25)/'Model Coefficients'!$D$25</f>
        <v/>
      </c>
      <c r="R77" s="7">
        <f>'Model Coefficients'!$C$6+'Model Coefficients'!$C$7*J77+'Model Coefficients'!$C$8*K77+'Model Coefficients'!$C$9*L77+'Model Coefficients'!$C$10*M77+'Model Coefficients'!$C$11*N77+'Model Coefficients'!$C$12*O77+'Model Coefficients'!$C$13*P77+'Model Coefficients'!$C$14*Q77</f>
        <v/>
      </c>
      <c r="S77" s="8">
        <f>1/(1+EXP(-R77))</f>
        <v/>
      </c>
      <c r="T77" s="6">
        <f>IF(S77&lt;0.15,"Low Risk",IF(S77&lt;0.35,"Medium Risk","High Risk"))</f>
        <v/>
      </c>
      <c r="U77" s="6" t="inlineStr">
        <is>
          <t>Repaid</t>
        </is>
      </c>
    </row>
    <row r="78">
      <c r="A78" s="6" t="inlineStr">
        <is>
          <t>MFI-0077</t>
        </is>
      </c>
      <c r="B78" s="6" t="n">
        <v>190.84</v>
      </c>
      <c r="C78" s="6" t="n">
        <v>18</v>
      </c>
      <c r="D78" s="6" t="n">
        <v>27</v>
      </c>
      <c r="E78" s="6" t="n">
        <v>51</v>
      </c>
      <c r="F78" s="6" t="n">
        <v>3</v>
      </c>
      <c r="G78" s="6" t="n">
        <v>1</v>
      </c>
      <c r="H78" s="6" t="n">
        <v>0</v>
      </c>
      <c r="I78" s="6" t="n">
        <v>0</v>
      </c>
      <c r="J78" s="7">
        <f>(B78-'Model Coefficients'!$C$18)/'Model Coefficients'!$D$18</f>
        <v/>
      </c>
      <c r="K78" s="7">
        <f>(C78-'Model Coefficients'!$C$19)/'Model Coefficients'!$D$19</f>
        <v/>
      </c>
      <c r="L78" s="7">
        <f>(D78-'Model Coefficients'!$C$20)/'Model Coefficients'!$D$20</f>
        <v/>
      </c>
      <c r="M78" s="7">
        <f>(E78-'Model Coefficients'!$C$21)/'Model Coefficients'!$D$21</f>
        <v/>
      </c>
      <c r="N78" s="7">
        <f>(F78-'Model Coefficients'!$C$22)/'Model Coefficients'!$D$22</f>
        <v/>
      </c>
      <c r="O78" s="7">
        <f>(G78-'Model Coefficients'!$C$23)/'Model Coefficients'!$D$23</f>
        <v/>
      </c>
      <c r="P78" s="7">
        <f>(H78-'Model Coefficients'!$C$24)/'Model Coefficients'!$D$24</f>
        <v/>
      </c>
      <c r="Q78" s="7">
        <f>(I78-'Model Coefficients'!$C$25)/'Model Coefficients'!$D$25</f>
        <v/>
      </c>
      <c r="R78" s="7">
        <f>'Model Coefficients'!$C$6+'Model Coefficients'!$C$7*J78+'Model Coefficients'!$C$8*K78+'Model Coefficients'!$C$9*L78+'Model Coefficients'!$C$10*M78+'Model Coefficients'!$C$11*N78+'Model Coefficients'!$C$12*O78+'Model Coefficients'!$C$13*P78+'Model Coefficients'!$C$14*Q78</f>
        <v/>
      </c>
      <c r="S78" s="8">
        <f>1/(1+EXP(-R78))</f>
        <v/>
      </c>
      <c r="T78" s="6">
        <f>IF(S78&lt;0.15,"Low Risk",IF(S78&lt;0.35,"Medium Risk","High Risk"))</f>
        <v/>
      </c>
      <c r="U78" s="6" t="inlineStr">
        <is>
          <t>Defaulted</t>
        </is>
      </c>
    </row>
    <row r="79">
      <c r="A79" s="6" t="inlineStr">
        <is>
          <t>MFI-0078</t>
        </is>
      </c>
      <c r="B79" s="6" t="n">
        <v>228.29</v>
      </c>
      <c r="C79" s="6" t="n">
        <v>24</v>
      </c>
      <c r="D79" s="6" t="n">
        <v>51</v>
      </c>
      <c r="E79" s="6" t="n">
        <v>92.84999999999999</v>
      </c>
      <c r="F79" s="6" t="n">
        <v>0</v>
      </c>
      <c r="G79" s="6" t="n">
        <v>4</v>
      </c>
      <c r="H79" s="6" t="n">
        <v>1</v>
      </c>
      <c r="I79" s="6" t="n">
        <v>1</v>
      </c>
      <c r="J79" s="7">
        <f>(B79-'Model Coefficients'!$C$18)/'Model Coefficients'!$D$18</f>
        <v/>
      </c>
      <c r="K79" s="7">
        <f>(C79-'Model Coefficients'!$C$19)/'Model Coefficients'!$D$19</f>
        <v/>
      </c>
      <c r="L79" s="7">
        <f>(D79-'Model Coefficients'!$C$20)/'Model Coefficients'!$D$20</f>
        <v/>
      </c>
      <c r="M79" s="7">
        <f>(E79-'Model Coefficients'!$C$21)/'Model Coefficients'!$D$21</f>
        <v/>
      </c>
      <c r="N79" s="7">
        <f>(F79-'Model Coefficients'!$C$22)/'Model Coefficients'!$D$22</f>
        <v/>
      </c>
      <c r="O79" s="7">
        <f>(G79-'Model Coefficients'!$C$23)/'Model Coefficients'!$D$23</f>
        <v/>
      </c>
      <c r="P79" s="7">
        <f>(H79-'Model Coefficients'!$C$24)/'Model Coefficients'!$D$24</f>
        <v/>
      </c>
      <c r="Q79" s="7">
        <f>(I79-'Model Coefficients'!$C$25)/'Model Coefficients'!$D$25</f>
        <v/>
      </c>
      <c r="R79" s="7">
        <f>'Model Coefficients'!$C$6+'Model Coefficients'!$C$7*J79+'Model Coefficients'!$C$8*K79+'Model Coefficients'!$C$9*L79+'Model Coefficients'!$C$10*M79+'Model Coefficients'!$C$11*N79+'Model Coefficients'!$C$12*O79+'Model Coefficients'!$C$13*P79+'Model Coefficients'!$C$14*Q79</f>
        <v/>
      </c>
      <c r="S79" s="8">
        <f>1/(1+EXP(-R79))</f>
        <v/>
      </c>
      <c r="T79" s="6">
        <f>IF(S79&lt;0.15,"Low Risk",IF(S79&lt;0.35,"Medium Risk","High Risk"))</f>
        <v/>
      </c>
      <c r="U79" s="6" t="inlineStr">
        <is>
          <t>Repaid</t>
        </is>
      </c>
    </row>
    <row r="80">
      <c r="A80" s="6" t="inlineStr">
        <is>
          <t>MFI-0079</t>
        </is>
      </c>
      <c r="B80" s="6" t="n">
        <v>140.35</v>
      </c>
      <c r="C80" s="6" t="n">
        <v>6</v>
      </c>
      <c r="D80" s="6" t="n">
        <v>44</v>
      </c>
      <c r="E80" s="6" t="n">
        <v>64.17</v>
      </c>
      <c r="F80" s="6" t="n">
        <v>1</v>
      </c>
      <c r="G80" s="6" t="n">
        <v>2</v>
      </c>
      <c r="H80" s="6" t="n">
        <v>1</v>
      </c>
      <c r="I80" s="6" t="n">
        <v>1</v>
      </c>
      <c r="J80" s="7">
        <f>(B80-'Model Coefficients'!$C$18)/'Model Coefficients'!$D$18</f>
        <v/>
      </c>
      <c r="K80" s="7">
        <f>(C80-'Model Coefficients'!$C$19)/'Model Coefficients'!$D$19</f>
        <v/>
      </c>
      <c r="L80" s="7">
        <f>(D80-'Model Coefficients'!$C$20)/'Model Coefficients'!$D$20</f>
        <v/>
      </c>
      <c r="M80" s="7">
        <f>(E80-'Model Coefficients'!$C$21)/'Model Coefficients'!$D$21</f>
        <v/>
      </c>
      <c r="N80" s="7">
        <f>(F80-'Model Coefficients'!$C$22)/'Model Coefficients'!$D$22</f>
        <v/>
      </c>
      <c r="O80" s="7">
        <f>(G80-'Model Coefficients'!$C$23)/'Model Coefficients'!$D$23</f>
        <v/>
      </c>
      <c r="P80" s="7">
        <f>(H80-'Model Coefficients'!$C$24)/'Model Coefficients'!$D$24</f>
        <v/>
      </c>
      <c r="Q80" s="7">
        <f>(I80-'Model Coefficients'!$C$25)/'Model Coefficients'!$D$25</f>
        <v/>
      </c>
      <c r="R80" s="7">
        <f>'Model Coefficients'!$C$6+'Model Coefficients'!$C$7*J80+'Model Coefficients'!$C$8*K80+'Model Coefficients'!$C$9*L80+'Model Coefficients'!$C$10*M80+'Model Coefficients'!$C$11*N80+'Model Coefficients'!$C$12*O80+'Model Coefficients'!$C$13*P80+'Model Coefficients'!$C$14*Q80</f>
        <v/>
      </c>
      <c r="S80" s="8">
        <f>1/(1+EXP(-R80))</f>
        <v/>
      </c>
      <c r="T80" s="6">
        <f>IF(S80&lt;0.15,"Low Risk",IF(S80&lt;0.35,"Medium Risk","High Risk"))</f>
        <v/>
      </c>
      <c r="U80" s="6" t="inlineStr">
        <is>
          <t>Repaid</t>
        </is>
      </c>
    </row>
    <row r="81">
      <c r="A81" s="6" t="inlineStr">
        <is>
          <t>MFI-0080</t>
        </is>
      </c>
      <c r="B81" s="6" t="n">
        <v>104.78</v>
      </c>
      <c r="C81" s="6" t="n">
        <v>24</v>
      </c>
      <c r="D81" s="6" t="n">
        <v>55</v>
      </c>
      <c r="E81" s="6" t="n">
        <v>102.96</v>
      </c>
      <c r="F81" s="6" t="n">
        <v>5</v>
      </c>
      <c r="G81" s="6" t="n">
        <v>1</v>
      </c>
      <c r="H81" s="6" t="n">
        <v>0</v>
      </c>
      <c r="I81" s="6" t="n">
        <v>0</v>
      </c>
      <c r="J81" s="7">
        <f>(B81-'Model Coefficients'!$C$18)/'Model Coefficients'!$D$18</f>
        <v/>
      </c>
      <c r="K81" s="7">
        <f>(C81-'Model Coefficients'!$C$19)/'Model Coefficients'!$D$19</f>
        <v/>
      </c>
      <c r="L81" s="7">
        <f>(D81-'Model Coefficients'!$C$20)/'Model Coefficients'!$D$20</f>
        <v/>
      </c>
      <c r="M81" s="7">
        <f>(E81-'Model Coefficients'!$C$21)/'Model Coefficients'!$D$21</f>
        <v/>
      </c>
      <c r="N81" s="7">
        <f>(F81-'Model Coefficients'!$C$22)/'Model Coefficients'!$D$22</f>
        <v/>
      </c>
      <c r="O81" s="7">
        <f>(G81-'Model Coefficients'!$C$23)/'Model Coefficients'!$D$23</f>
        <v/>
      </c>
      <c r="P81" s="7">
        <f>(H81-'Model Coefficients'!$C$24)/'Model Coefficients'!$D$24</f>
        <v/>
      </c>
      <c r="Q81" s="7">
        <f>(I81-'Model Coefficients'!$C$25)/'Model Coefficients'!$D$25</f>
        <v/>
      </c>
      <c r="R81" s="7">
        <f>'Model Coefficients'!$C$6+'Model Coefficients'!$C$7*J81+'Model Coefficients'!$C$8*K81+'Model Coefficients'!$C$9*L81+'Model Coefficients'!$C$10*M81+'Model Coefficients'!$C$11*N81+'Model Coefficients'!$C$12*O81+'Model Coefficients'!$C$13*P81+'Model Coefficients'!$C$14*Q81</f>
        <v/>
      </c>
      <c r="S81" s="8">
        <f>1/(1+EXP(-R81))</f>
        <v/>
      </c>
      <c r="T81" s="6">
        <f>IF(S81&lt;0.15,"Low Risk",IF(S81&lt;0.35,"Medium Risk","High Risk"))</f>
        <v/>
      </c>
      <c r="U81" s="6" t="inlineStr">
        <is>
          <t>Defaulted</t>
        </is>
      </c>
    </row>
    <row r="82">
      <c r="A82" s="6" t="inlineStr">
        <is>
          <t>MFI-0081</t>
        </is>
      </c>
      <c r="B82" s="6" t="n">
        <v>21.65</v>
      </c>
      <c r="C82" s="6" t="n">
        <v>12</v>
      </c>
      <c r="D82" s="6" t="n">
        <v>29</v>
      </c>
      <c r="E82" s="6" t="n">
        <v>39.75</v>
      </c>
      <c r="F82" s="6" t="n">
        <v>4</v>
      </c>
      <c r="G82" s="6" t="n">
        <v>0</v>
      </c>
      <c r="H82" s="6" t="n">
        <v>0</v>
      </c>
      <c r="I82" s="6" t="n">
        <v>1</v>
      </c>
      <c r="J82" s="7">
        <f>(B82-'Model Coefficients'!$C$18)/'Model Coefficients'!$D$18</f>
        <v/>
      </c>
      <c r="K82" s="7">
        <f>(C82-'Model Coefficients'!$C$19)/'Model Coefficients'!$D$19</f>
        <v/>
      </c>
      <c r="L82" s="7">
        <f>(D82-'Model Coefficients'!$C$20)/'Model Coefficients'!$D$20</f>
        <v/>
      </c>
      <c r="M82" s="7">
        <f>(E82-'Model Coefficients'!$C$21)/'Model Coefficients'!$D$21</f>
        <v/>
      </c>
      <c r="N82" s="7">
        <f>(F82-'Model Coefficients'!$C$22)/'Model Coefficients'!$D$22</f>
        <v/>
      </c>
      <c r="O82" s="7">
        <f>(G82-'Model Coefficients'!$C$23)/'Model Coefficients'!$D$23</f>
        <v/>
      </c>
      <c r="P82" s="7">
        <f>(H82-'Model Coefficients'!$C$24)/'Model Coefficients'!$D$24</f>
        <v/>
      </c>
      <c r="Q82" s="7">
        <f>(I82-'Model Coefficients'!$C$25)/'Model Coefficients'!$D$25</f>
        <v/>
      </c>
      <c r="R82" s="7">
        <f>'Model Coefficients'!$C$6+'Model Coefficients'!$C$7*J82+'Model Coefficients'!$C$8*K82+'Model Coefficients'!$C$9*L82+'Model Coefficients'!$C$10*M82+'Model Coefficients'!$C$11*N82+'Model Coefficients'!$C$12*O82+'Model Coefficients'!$C$13*P82+'Model Coefficients'!$C$14*Q82</f>
        <v/>
      </c>
      <c r="S82" s="8">
        <f>1/(1+EXP(-R82))</f>
        <v/>
      </c>
      <c r="T82" s="6">
        <f>IF(S82&lt;0.15,"Low Risk",IF(S82&lt;0.35,"Medium Risk","High Risk"))</f>
        <v/>
      </c>
      <c r="U82" s="6" t="inlineStr">
        <is>
          <t>Repaid</t>
        </is>
      </c>
    </row>
    <row r="83">
      <c r="A83" s="6" t="inlineStr">
        <is>
          <t>MFI-0082</t>
        </is>
      </c>
      <c r="B83" s="6" t="n">
        <v>231.81</v>
      </c>
      <c r="C83" s="6" t="n">
        <v>24</v>
      </c>
      <c r="D83" s="6" t="n">
        <v>31</v>
      </c>
      <c r="E83" s="6" t="n">
        <v>69.95999999999999</v>
      </c>
      <c r="F83" s="6" t="n">
        <v>1</v>
      </c>
      <c r="G83" s="6" t="n">
        <v>0</v>
      </c>
      <c r="H83" s="6" t="n">
        <v>1</v>
      </c>
      <c r="I83" s="6" t="n">
        <v>0</v>
      </c>
      <c r="J83" s="7">
        <f>(B83-'Model Coefficients'!$C$18)/'Model Coefficients'!$D$18</f>
        <v/>
      </c>
      <c r="K83" s="7">
        <f>(C83-'Model Coefficients'!$C$19)/'Model Coefficients'!$D$19</f>
        <v/>
      </c>
      <c r="L83" s="7">
        <f>(D83-'Model Coefficients'!$C$20)/'Model Coefficients'!$D$20</f>
        <v/>
      </c>
      <c r="M83" s="7">
        <f>(E83-'Model Coefficients'!$C$21)/'Model Coefficients'!$D$21</f>
        <v/>
      </c>
      <c r="N83" s="7">
        <f>(F83-'Model Coefficients'!$C$22)/'Model Coefficients'!$D$22</f>
        <v/>
      </c>
      <c r="O83" s="7">
        <f>(G83-'Model Coefficients'!$C$23)/'Model Coefficients'!$D$23</f>
        <v/>
      </c>
      <c r="P83" s="7">
        <f>(H83-'Model Coefficients'!$C$24)/'Model Coefficients'!$D$24</f>
        <v/>
      </c>
      <c r="Q83" s="7">
        <f>(I83-'Model Coefficients'!$C$25)/'Model Coefficients'!$D$25</f>
        <v/>
      </c>
      <c r="R83" s="7">
        <f>'Model Coefficients'!$C$6+'Model Coefficients'!$C$7*J83+'Model Coefficients'!$C$8*K83+'Model Coefficients'!$C$9*L83+'Model Coefficients'!$C$10*M83+'Model Coefficients'!$C$11*N83+'Model Coefficients'!$C$12*O83+'Model Coefficients'!$C$13*P83+'Model Coefficients'!$C$14*Q83</f>
        <v/>
      </c>
      <c r="S83" s="8">
        <f>1/(1+EXP(-R83))</f>
        <v/>
      </c>
      <c r="T83" s="6">
        <f>IF(S83&lt;0.15,"Low Risk",IF(S83&lt;0.35,"Medium Risk","High Risk"))</f>
        <v/>
      </c>
      <c r="U83" s="6" t="inlineStr">
        <is>
          <t>Repaid</t>
        </is>
      </c>
    </row>
    <row r="84">
      <c r="A84" s="6" t="inlineStr">
        <is>
          <t>MFI-0083</t>
        </is>
      </c>
      <c r="B84" s="6" t="n">
        <v>41.72</v>
      </c>
      <c r="C84" s="6" t="n">
        <v>6</v>
      </c>
      <c r="D84" s="6" t="n">
        <v>36</v>
      </c>
      <c r="E84" s="6" t="n">
        <v>81.34</v>
      </c>
      <c r="F84" s="6" t="n">
        <v>2</v>
      </c>
      <c r="G84" s="6" t="n">
        <v>1</v>
      </c>
      <c r="H84" s="6" t="n">
        <v>1</v>
      </c>
      <c r="I84" s="6" t="n">
        <v>0</v>
      </c>
      <c r="J84" s="7">
        <f>(B84-'Model Coefficients'!$C$18)/'Model Coefficients'!$D$18</f>
        <v/>
      </c>
      <c r="K84" s="7">
        <f>(C84-'Model Coefficients'!$C$19)/'Model Coefficients'!$D$19</f>
        <v/>
      </c>
      <c r="L84" s="7">
        <f>(D84-'Model Coefficients'!$C$20)/'Model Coefficients'!$D$20</f>
        <v/>
      </c>
      <c r="M84" s="7">
        <f>(E84-'Model Coefficients'!$C$21)/'Model Coefficients'!$D$21</f>
        <v/>
      </c>
      <c r="N84" s="7">
        <f>(F84-'Model Coefficients'!$C$22)/'Model Coefficients'!$D$22</f>
        <v/>
      </c>
      <c r="O84" s="7">
        <f>(G84-'Model Coefficients'!$C$23)/'Model Coefficients'!$D$23</f>
        <v/>
      </c>
      <c r="P84" s="7">
        <f>(H84-'Model Coefficients'!$C$24)/'Model Coefficients'!$D$24</f>
        <v/>
      </c>
      <c r="Q84" s="7">
        <f>(I84-'Model Coefficients'!$C$25)/'Model Coefficients'!$D$25</f>
        <v/>
      </c>
      <c r="R84" s="7">
        <f>'Model Coefficients'!$C$6+'Model Coefficients'!$C$7*J84+'Model Coefficients'!$C$8*K84+'Model Coefficients'!$C$9*L84+'Model Coefficients'!$C$10*M84+'Model Coefficients'!$C$11*N84+'Model Coefficients'!$C$12*O84+'Model Coefficients'!$C$13*P84+'Model Coefficients'!$C$14*Q84</f>
        <v/>
      </c>
      <c r="S84" s="8">
        <f>1/(1+EXP(-R84))</f>
        <v/>
      </c>
      <c r="T84" s="6">
        <f>IF(S84&lt;0.15,"Low Risk",IF(S84&lt;0.35,"Medium Risk","High Risk"))</f>
        <v/>
      </c>
      <c r="U84" s="6" t="inlineStr">
        <is>
          <t>Repaid</t>
        </is>
      </c>
    </row>
    <row r="85">
      <c r="A85" s="6" t="inlineStr">
        <is>
          <t>MFI-0084</t>
        </is>
      </c>
      <c r="B85" s="6" t="n">
        <v>157.2</v>
      </c>
      <c r="C85" s="6" t="n">
        <v>24</v>
      </c>
      <c r="D85" s="6" t="n">
        <v>59</v>
      </c>
      <c r="E85" s="6" t="n">
        <v>54.55</v>
      </c>
      <c r="F85" s="6" t="n">
        <v>2</v>
      </c>
      <c r="G85" s="6" t="n">
        <v>0</v>
      </c>
      <c r="H85" s="6" t="n">
        <v>0</v>
      </c>
      <c r="I85" s="6" t="n">
        <v>0</v>
      </c>
      <c r="J85" s="7">
        <f>(B85-'Model Coefficients'!$C$18)/'Model Coefficients'!$D$18</f>
        <v/>
      </c>
      <c r="K85" s="7">
        <f>(C85-'Model Coefficients'!$C$19)/'Model Coefficients'!$D$19</f>
        <v/>
      </c>
      <c r="L85" s="7">
        <f>(D85-'Model Coefficients'!$C$20)/'Model Coefficients'!$D$20</f>
        <v/>
      </c>
      <c r="M85" s="7">
        <f>(E85-'Model Coefficients'!$C$21)/'Model Coefficients'!$D$21</f>
        <v/>
      </c>
      <c r="N85" s="7">
        <f>(F85-'Model Coefficients'!$C$22)/'Model Coefficients'!$D$22</f>
        <v/>
      </c>
      <c r="O85" s="7">
        <f>(G85-'Model Coefficients'!$C$23)/'Model Coefficients'!$D$23</f>
        <v/>
      </c>
      <c r="P85" s="7">
        <f>(H85-'Model Coefficients'!$C$24)/'Model Coefficients'!$D$24</f>
        <v/>
      </c>
      <c r="Q85" s="7">
        <f>(I85-'Model Coefficients'!$C$25)/'Model Coefficients'!$D$25</f>
        <v/>
      </c>
      <c r="R85" s="7">
        <f>'Model Coefficients'!$C$6+'Model Coefficients'!$C$7*J85+'Model Coefficients'!$C$8*K85+'Model Coefficients'!$C$9*L85+'Model Coefficients'!$C$10*M85+'Model Coefficients'!$C$11*N85+'Model Coefficients'!$C$12*O85+'Model Coefficients'!$C$13*P85+'Model Coefficients'!$C$14*Q85</f>
        <v/>
      </c>
      <c r="S85" s="8">
        <f>1/(1+EXP(-R85))</f>
        <v/>
      </c>
      <c r="T85" s="6">
        <f>IF(S85&lt;0.15,"Low Risk",IF(S85&lt;0.35,"Medium Risk","High Risk"))</f>
        <v/>
      </c>
      <c r="U85" s="6" t="inlineStr">
        <is>
          <t>Defaulted</t>
        </is>
      </c>
    </row>
    <row r="86">
      <c r="A86" s="6" t="inlineStr">
        <is>
          <t>MFI-0085</t>
        </is>
      </c>
      <c r="B86" s="6" t="n">
        <v>105.22</v>
      </c>
      <c r="C86" s="6" t="n">
        <v>12</v>
      </c>
      <c r="D86" s="6" t="n">
        <v>59</v>
      </c>
      <c r="E86" s="6" t="n">
        <v>74.17</v>
      </c>
      <c r="F86" s="6" t="n">
        <v>1</v>
      </c>
      <c r="G86" s="6" t="n">
        <v>3</v>
      </c>
      <c r="H86" s="6" t="n">
        <v>1</v>
      </c>
      <c r="I86" s="6" t="n">
        <v>0</v>
      </c>
      <c r="J86" s="7">
        <f>(B86-'Model Coefficients'!$C$18)/'Model Coefficients'!$D$18</f>
        <v/>
      </c>
      <c r="K86" s="7">
        <f>(C86-'Model Coefficients'!$C$19)/'Model Coefficients'!$D$19</f>
        <v/>
      </c>
      <c r="L86" s="7">
        <f>(D86-'Model Coefficients'!$C$20)/'Model Coefficients'!$D$20</f>
        <v/>
      </c>
      <c r="M86" s="7">
        <f>(E86-'Model Coefficients'!$C$21)/'Model Coefficients'!$D$21</f>
        <v/>
      </c>
      <c r="N86" s="7">
        <f>(F86-'Model Coefficients'!$C$22)/'Model Coefficients'!$D$22</f>
        <v/>
      </c>
      <c r="O86" s="7">
        <f>(G86-'Model Coefficients'!$C$23)/'Model Coefficients'!$D$23</f>
        <v/>
      </c>
      <c r="P86" s="7">
        <f>(H86-'Model Coefficients'!$C$24)/'Model Coefficients'!$D$24</f>
        <v/>
      </c>
      <c r="Q86" s="7">
        <f>(I86-'Model Coefficients'!$C$25)/'Model Coefficients'!$D$25</f>
        <v/>
      </c>
      <c r="R86" s="7">
        <f>'Model Coefficients'!$C$6+'Model Coefficients'!$C$7*J86+'Model Coefficients'!$C$8*K86+'Model Coefficients'!$C$9*L86+'Model Coefficients'!$C$10*M86+'Model Coefficients'!$C$11*N86+'Model Coefficients'!$C$12*O86+'Model Coefficients'!$C$13*P86+'Model Coefficients'!$C$14*Q86</f>
        <v/>
      </c>
      <c r="S86" s="8">
        <f>1/(1+EXP(-R86))</f>
        <v/>
      </c>
      <c r="T86" s="6">
        <f>IF(S86&lt;0.15,"Low Risk",IF(S86&lt;0.35,"Medium Risk","High Risk"))</f>
        <v/>
      </c>
      <c r="U86" s="6" t="inlineStr">
        <is>
          <t>Repaid</t>
        </is>
      </c>
    </row>
    <row r="87">
      <c r="A87" s="6" t="inlineStr">
        <is>
          <t>MFI-0086</t>
        </is>
      </c>
      <c r="B87" s="6" t="n">
        <v>255.43</v>
      </c>
      <c r="C87" s="6" t="n">
        <v>6</v>
      </c>
      <c r="D87" s="6" t="n">
        <v>52</v>
      </c>
      <c r="E87" s="6" t="n">
        <v>46.16</v>
      </c>
      <c r="F87" s="6" t="n">
        <v>1</v>
      </c>
      <c r="G87" s="6" t="n">
        <v>5</v>
      </c>
      <c r="H87" s="6" t="n">
        <v>0</v>
      </c>
      <c r="I87" s="6" t="n">
        <v>1</v>
      </c>
      <c r="J87" s="7">
        <f>(B87-'Model Coefficients'!$C$18)/'Model Coefficients'!$D$18</f>
        <v/>
      </c>
      <c r="K87" s="7">
        <f>(C87-'Model Coefficients'!$C$19)/'Model Coefficients'!$D$19</f>
        <v/>
      </c>
      <c r="L87" s="7">
        <f>(D87-'Model Coefficients'!$C$20)/'Model Coefficients'!$D$20</f>
        <v/>
      </c>
      <c r="M87" s="7">
        <f>(E87-'Model Coefficients'!$C$21)/'Model Coefficients'!$D$21</f>
        <v/>
      </c>
      <c r="N87" s="7">
        <f>(F87-'Model Coefficients'!$C$22)/'Model Coefficients'!$D$22</f>
        <v/>
      </c>
      <c r="O87" s="7">
        <f>(G87-'Model Coefficients'!$C$23)/'Model Coefficients'!$D$23</f>
        <v/>
      </c>
      <c r="P87" s="7">
        <f>(H87-'Model Coefficients'!$C$24)/'Model Coefficients'!$D$24</f>
        <v/>
      </c>
      <c r="Q87" s="7">
        <f>(I87-'Model Coefficients'!$C$25)/'Model Coefficients'!$D$25</f>
        <v/>
      </c>
      <c r="R87" s="7">
        <f>'Model Coefficients'!$C$6+'Model Coefficients'!$C$7*J87+'Model Coefficients'!$C$8*K87+'Model Coefficients'!$C$9*L87+'Model Coefficients'!$C$10*M87+'Model Coefficients'!$C$11*N87+'Model Coefficients'!$C$12*O87+'Model Coefficients'!$C$13*P87+'Model Coefficients'!$C$14*Q87</f>
        <v/>
      </c>
      <c r="S87" s="8">
        <f>1/(1+EXP(-R87))</f>
        <v/>
      </c>
      <c r="T87" s="6">
        <f>IF(S87&lt;0.15,"Low Risk",IF(S87&lt;0.35,"Medium Risk","High Risk"))</f>
        <v/>
      </c>
      <c r="U87" s="6" t="inlineStr">
        <is>
          <t>Defaulted</t>
        </is>
      </c>
    </row>
    <row r="88">
      <c r="A88" s="6" t="inlineStr">
        <is>
          <t>MFI-0087</t>
        </is>
      </c>
      <c r="B88" s="6" t="n">
        <v>286.13</v>
      </c>
      <c r="C88" s="6" t="n">
        <v>18</v>
      </c>
      <c r="D88" s="6" t="n">
        <v>22</v>
      </c>
      <c r="E88" s="6" t="n">
        <v>118.68</v>
      </c>
      <c r="F88" s="6" t="n">
        <v>1</v>
      </c>
      <c r="G88" s="6" t="n">
        <v>0</v>
      </c>
      <c r="H88" s="6" t="n">
        <v>1</v>
      </c>
      <c r="I88" s="6" t="n">
        <v>1</v>
      </c>
      <c r="J88" s="7">
        <f>(B88-'Model Coefficients'!$C$18)/'Model Coefficients'!$D$18</f>
        <v/>
      </c>
      <c r="K88" s="7">
        <f>(C88-'Model Coefficients'!$C$19)/'Model Coefficients'!$D$19</f>
        <v/>
      </c>
      <c r="L88" s="7">
        <f>(D88-'Model Coefficients'!$C$20)/'Model Coefficients'!$D$20</f>
        <v/>
      </c>
      <c r="M88" s="7">
        <f>(E88-'Model Coefficients'!$C$21)/'Model Coefficients'!$D$21</f>
        <v/>
      </c>
      <c r="N88" s="7">
        <f>(F88-'Model Coefficients'!$C$22)/'Model Coefficients'!$D$22</f>
        <v/>
      </c>
      <c r="O88" s="7">
        <f>(G88-'Model Coefficients'!$C$23)/'Model Coefficients'!$D$23</f>
        <v/>
      </c>
      <c r="P88" s="7">
        <f>(H88-'Model Coefficients'!$C$24)/'Model Coefficients'!$D$24</f>
        <v/>
      </c>
      <c r="Q88" s="7">
        <f>(I88-'Model Coefficients'!$C$25)/'Model Coefficients'!$D$25</f>
        <v/>
      </c>
      <c r="R88" s="7">
        <f>'Model Coefficients'!$C$6+'Model Coefficients'!$C$7*J88+'Model Coefficients'!$C$8*K88+'Model Coefficients'!$C$9*L88+'Model Coefficients'!$C$10*M88+'Model Coefficients'!$C$11*N88+'Model Coefficients'!$C$12*O88+'Model Coefficients'!$C$13*P88+'Model Coefficients'!$C$14*Q88</f>
        <v/>
      </c>
      <c r="S88" s="8">
        <f>1/(1+EXP(-R88))</f>
        <v/>
      </c>
      <c r="T88" s="6">
        <f>IF(S88&lt;0.15,"Low Risk",IF(S88&lt;0.35,"Medium Risk","High Risk"))</f>
        <v/>
      </c>
      <c r="U88" s="6" t="inlineStr">
        <is>
          <t>Repaid</t>
        </is>
      </c>
    </row>
    <row r="89">
      <c r="A89" s="6" t="inlineStr">
        <is>
          <t>MFI-0088</t>
        </is>
      </c>
      <c r="B89" s="6" t="n">
        <v>109.28</v>
      </c>
      <c r="C89" s="6" t="n">
        <v>6</v>
      </c>
      <c r="D89" s="6" t="n">
        <v>23</v>
      </c>
      <c r="E89" s="6" t="n">
        <v>87.16</v>
      </c>
      <c r="F89" s="6" t="n">
        <v>1</v>
      </c>
      <c r="G89" s="6" t="n">
        <v>0</v>
      </c>
      <c r="H89" s="6" t="n">
        <v>1</v>
      </c>
      <c r="I89" s="6" t="n">
        <v>1</v>
      </c>
      <c r="J89" s="7">
        <f>(B89-'Model Coefficients'!$C$18)/'Model Coefficients'!$D$18</f>
        <v/>
      </c>
      <c r="K89" s="7">
        <f>(C89-'Model Coefficients'!$C$19)/'Model Coefficients'!$D$19</f>
        <v/>
      </c>
      <c r="L89" s="7">
        <f>(D89-'Model Coefficients'!$C$20)/'Model Coefficients'!$D$20</f>
        <v/>
      </c>
      <c r="M89" s="7">
        <f>(E89-'Model Coefficients'!$C$21)/'Model Coefficients'!$D$21</f>
        <v/>
      </c>
      <c r="N89" s="7">
        <f>(F89-'Model Coefficients'!$C$22)/'Model Coefficients'!$D$22</f>
        <v/>
      </c>
      <c r="O89" s="7">
        <f>(G89-'Model Coefficients'!$C$23)/'Model Coefficients'!$D$23</f>
        <v/>
      </c>
      <c r="P89" s="7">
        <f>(H89-'Model Coefficients'!$C$24)/'Model Coefficients'!$D$24</f>
        <v/>
      </c>
      <c r="Q89" s="7">
        <f>(I89-'Model Coefficients'!$C$25)/'Model Coefficients'!$D$25</f>
        <v/>
      </c>
      <c r="R89" s="7">
        <f>'Model Coefficients'!$C$6+'Model Coefficients'!$C$7*J89+'Model Coefficients'!$C$8*K89+'Model Coefficients'!$C$9*L89+'Model Coefficients'!$C$10*M89+'Model Coefficients'!$C$11*N89+'Model Coefficients'!$C$12*O89+'Model Coefficients'!$C$13*P89+'Model Coefficients'!$C$14*Q89</f>
        <v/>
      </c>
      <c r="S89" s="8">
        <f>1/(1+EXP(-R89))</f>
        <v/>
      </c>
      <c r="T89" s="6">
        <f>IF(S89&lt;0.15,"Low Risk",IF(S89&lt;0.35,"Medium Risk","High Risk"))</f>
        <v/>
      </c>
      <c r="U89" s="6" t="inlineStr">
        <is>
          <t>Repaid</t>
        </is>
      </c>
    </row>
    <row r="90">
      <c r="A90" s="6" t="inlineStr">
        <is>
          <t>MFI-0089</t>
        </is>
      </c>
      <c r="B90" s="6" t="n">
        <v>271.38</v>
      </c>
      <c r="C90" s="6" t="n">
        <v>18</v>
      </c>
      <c r="D90" s="6" t="n">
        <v>47</v>
      </c>
      <c r="E90" s="6" t="n">
        <v>81.09</v>
      </c>
      <c r="F90" s="6" t="n">
        <v>1</v>
      </c>
      <c r="G90" s="6" t="n">
        <v>5</v>
      </c>
      <c r="H90" s="6" t="n">
        <v>1</v>
      </c>
      <c r="I90" s="6" t="n">
        <v>1</v>
      </c>
      <c r="J90" s="7">
        <f>(B90-'Model Coefficients'!$C$18)/'Model Coefficients'!$D$18</f>
        <v/>
      </c>
      <c r="K90" s="7">
        <f>(C90-'Model Coefficients'!$C$19)/'Model Coefficients'!$D$19</f>
        <v/>
      </c>
      <c r="L90" s="7">
        <f>(D90-'Model Coefficients'!$C$20)/'Model Coefficients'!$D$20</f>
        <v/>
      </c>
      <c r="M90" s="7">
        <f>(E90-'Model Coefficients'!$C$21)/'Model Coefficients'!$D$21</f>
        <v/>
      </c>
      <c r="N90" s="7">
        <f>(F90-'Model Coefficients'!$C$22)/'Model Coefficients'!$D$22</f>
        <v/>
      </c>
      <c r="O90" s="7">
        <f>(G90-'Model Coefficients'!$C$23)/'Model Coefficients'!$D$23</f>
        <v/>
      </c>
      <c r="P90" s="7">
        <f>(H90-'Model Coefficients'!$C$24)/'Model Coefficients'!$D$24</f>
        <v/>
      </c>
      <c r="Q90" s="7">
        <f>(I90-'Model Coefficients'!$C$25)/'Model Coefficients'!$D$25</f>
        <v/>
      </c>
      <c r="R90" s="7">
        <f>'Model Coefficients'!$C$6+'Model Coefficients'!$C$7*J90+'Model Coefficients'!$C$8*K90+'Model Coefficients'!$C$9*L90+'Model Coefficients'!$C$10*M90+'Model Coefficients'!$C$11*N90+'Model Coefficients'!$C$12*O90+'Model Coefficients'!$C$13*P90+'Model Coefficients'!$C$14*Q90</f>
        <v/>
      </c>
      <c r="S90" s="8">
        <f>1/(1+EXP(-R90))</f>
        <v/>
      </c>
      <c r="T90" s="6">
        <f>IF(S90&lt;0.15,"Low Risk",IF(S90&lt;0.35,"Medium Risk","High Risk"))</f>
        <v/>
      </c>
      <c r="U90" s="6" t="inlineStr">
        <is>
          <t>Repaid</t>
        </is>
      </c>
    </row>
    <row r="91">
      <c r="A91" s="6" t="inlineStr">
        <is>
          <t>MFI-0090</t>
        </is>
      </c>
      <c r="B91" s="6" t="n">
        <v>114.51</v>
      </c>
      <c r="C91" s="6" t="n">
        <v>6</v>
      </c>
      <c r="D91" s="6" t="n">
        <v>23</v>
      </c>
      <c r="E91" s="6" t="n">
        <v>113.13</v>
      </c>
      <c r="F91" s="6" t="n">
        <v>2</v>
      </c>
      <c r="G91" s="6" t="n">
        <v>3</v>
      </c>
      <c r="H91" s="6" t="n">
        <v>1</v>
      </c>
      <c r="I91" s="6" t="n">
        <v>1</v>
      </c>
      <c r="J91" s="7">
        <f>(B91-'Model Coefficients'!$C$18)/'Model Coefficients'!$D$18</f>
        <v/>
      </c>
      <c r="K91" s="7">
        <f>(C91-'Model Coefficients'!$C$19)/'Model Coefficients'!$D$19</f>
        <v/>
      </c>
      <c r="L91" s="7">
        <f>(D91-'Model Coefficients'!$C$20)/'Model Coefficients'!$D$20</f>
        <v/>
      </c>
      <c r="M91" s="7">
        <f>(E91-'Model Coefficients'!$C$21)/'Model Coefficients'!$D$21</f>
        <v/>
      </c>
      <c r="N91" s="7">
        <f>(F91-'Model Coefficients'!$C$22)/'Model Coefficients'!$D$22</f>
        <v/>
      </c>
      <c r="O91" s="7">
        <f>(G91-'Model Coefficients'!$C$23)/'Model Coefficients'!$D$23</f>
        <v/>
      </c>
      <c r="P91" s="7">
        <f>(H91-'Model Coefficients'!$C$24)/'Model Coefficients'!$D$24</f>
        <v/>
      </c>
      <c r="Q91" s="7">
        <f>(I91-'Model Coefficients'!$C$25)/'Model Coefficients'!$D$25</f>
        <v/>
      </c>
      <c r="R91" s="7">
        <f>'Model Coefficients'!$C$6+'Model Coefficients'!$C$7*J91+'Model Coefficients'!$C$8*K91+'Model Coefficients'!$C$9*L91+'Model Coefficients'!$C$10*M91+'Model Coefficients'!$C$11*N91+'Model Coefficients'!$C$12*O91+'Model Coefficients'!$C$13*P91+'Model Coefficients'!$C$14*Q91</f>
        <v/>
      </c>
      <c r="S91" s="8">
        <f>1/(1+EXP(-R91))</f>
        <v/>
      </c>
      <c r="T91" s="6">
        <f>IF(S91&lt;0.15,"Low Risk",IF(S91&lt;0.35,"Medium Risk","High Risk"))</f>
        <v/>
      </c>
      <c r="U91" s="6" t="inlineStr">
        <is>
          <t>Repaid</t>
        </is>
      </c>
    </row>
    <row r="92">
      <c r="A92" s="6" t="inlineStr">
        <is>
          <t>MFI-0091</t>
        </is>
      </c>
      <c r="B92" s="6" t="n">
        <v>247.39</v>
      </c>
      <c r="C92" s="6" t="n">
        <v>6</v>
      </c>
      <c r="D92" s="6" t="n">
        <v>58</v>
      </c>
      <c r="E92" s="6" t="n">
        <v>61.27</v>
      </c>
      <c r="F92" s="6" t="n">
        <v>2</v>
      </c>
      <c r="G92" s="6" t="n">
        <v>4</v>
      </c>
      <c r="H92" s="6" t="n">
        <v>1</v>
      </c>
      <c r="I92" s="6" t="n">
        <v>1</v>
      </c>
      <c r="J92" s="7">
        <f>(B92-'Model Coefficients'!$C$18)/'Model Coefficients'!$D$18</f>
        <v/>
      </c>
      <c r="K92" s="7">
        <f>(C92-'Model Coefficients'!$C$19)/'Model Coefficients'!$D$19</f>
        <v/>
      </c>
      <c r="L92" s="7">
        <f>(D92-'Model Coefficients'!$C$20)/'Model Coefficients'!$D$20</f>
        <v/>
      </c>
      <c r="M92" s="7">
        <f>(E92-'Model Coefficients'!$C$21)/'Model Coefficients'!$D$21</f>
        <v/>
      </c>
      <c r="N92" s="7">
        <f>(F92-'Model Coefficients'!$C$22)/'Model Coefficients'!$D$22</f>
        <v/>
      </c>
      <c r="O92" s="7">
        <f>(G92-'Model Coefficients'!$C$23)/'Model Coefficients'!$D$23</f>
        <v/>
      </c>
      <c r="P92" s="7">
        <f>(H92-'Model Coefficients'!$C$24)/'Model Coefficients'!$D$24</f>
        <v/>
      </c>
      <c r="Q92" s="7">
        <f>(I92-'Model Coefficients'!$C$25)/'Model Coefficients'!$D$25</f>
        <v/>
      </c>
      <c r="R92" s="7">
        <f>'Model Coefficients'!$C$6+'Model Coefficients'!$C$7*J92+'Model Coefficients'!$C$8*K92+'Model Coefficients'!$C$9*L92+'Model Coefficients'!$C$10*M92+'Model Coefficients'!$C$11*N92+'Model Coefficients'!$C$12*O92+'Model Coefficients'!$C$13*P92+'Model Coefficients'!$C$14*Q92</f>
        <v/>
      </c>
      <c r="S92" s="8">
        <f>1/(1+EXP(-R92))</f>
        <v/>
      </c>
      <c r="T92" s="6">
        <f>IF(S92&lt;0.15,"Low Risk",IF(S92&lt;0.35,"Medium Risk","High Risk"))</f>
        <v/>
      </c>
      <c r="U92" s="6" t="inlineStr">
        <is>
          <t>Defaulted</t>
        </is>
      </c>
    </row>
    <row r="93">
      <c r="A93" s="6" t="inlineStr">
        <is>
          <t>MFI-0092</t>
        </is>
      </c>
      <c r="B93" s="6" t="n">
        <v>243.68</v>
      </c>
      <c r="C93" s="6" t="n">
        <v>18</v>
      </c>
      <c r="D93" s="6" t="n">
        <v>27</v>
      </c>
      <c r="E93" s="6" t="n">
        <v>118.03</v>
      </c>
      <c r="F93" s="6" t="n">
        <v>1</v>
      </c>
      <c r="G93" s="6" t="n">
        <v>3</v>
      </c>
      <c r="H93" s="6" t="n">
        <v>0</v>
      </c>
      <c r="I93" s="6" t="n">
        <v>1</v>
      </c>
      <c r="J93" s="7">
        <f>(B93-'Model Coefficients'!$C$18)/'Model Coefficients'!$D$18</f>
        <v/>
      </c>
      <c r="K93" s="7">
        <f>(C93-'Model Coefficients'!$C$19)/'Model Coefficients'!$D$19</f>
        <v/>
      </c>
      <c r="L93" s="7">
        <f>(D93-'Model Coefficients'!$C$20)/'Model Coefficients'!$D$20</f>
        <v/>
      </c>
      <c r="M93" s="7">
        <f>(E93-'Model Coefficients'!$C$21)/'Model Coefficients'!$D$21</f>
        <v/>
      </c>
      <c r="N93" s="7">
        <f>(F93-'Model Coefficients'!$C$22)/'Model Coefficients'!$D$22</f>
        <v/>
      </c>
      <c r="O93" s="7">
        <f>(G93-'Model Coefficients'!$C$23)/'Model Coefficients'!$D$23</f>
        <v/>
      </c>
      <c r="P93" s="7">
        <f>(H93-'Model Coefficients'!$C$24)/'Model Coefficients'!$D$24</f>
        <v/>
      </c>
      <c r="Q93" s="7">
        <f>(I93-'Model Coefficients'!$C$25)/'Model Coefficients'!$D$25</f>
        <v/>
      </c>
      <c r="R93" s="7">
        <f>'Model Coefficients'!$C$6+'Model Coefficients'!$C$7*J93+'Model Coefficients'!$C$8*K93+'Model Coefficients'!$C$9*L93+'Model Coefficients'!$C$10*M93+'Model Coefficients'!$C$11*N93+'Model Coefficients'!$C$12*O93+'Model Coefficients'!$C$13*P93+'Model Coefficients'!$C$14*Q93</f>
        <v/>
      </c>
      <c r="S93" s="8">
        <f>1/(1+EXP(-R93))</f>
        <v/>
      </c>
      <c r="T93" s="6">
        <f>IF(S93&lt;0.15,"Low Risk",IF(S93&lt;0.35,"Medium Risk","High Risk"))</f>
        <v/>
      </c>
      <c r="U93" s="6" t="inlineStr">
        <is>
          <t>Repaid</t>
        </is>
      </c>
    </row>
    <row r="94">
      <c r="A94" s="6" t="inlineStr">
        <is>
          <t>MFI-0093</t>
        </is>
      </c>
      <c r="B94" s="6" t="n">
        <v>203.48</v>
      </c>
      <c r="C94" s="6" t="n">
        <v>18</v>
      </c>
      <c r="D94" s="6" t="n">
        <v>57</v>
      </c>
      <c r="E94" s="6" t="n">
        <v>24.45</v>
      </c>
      <c r="F94" s="6" t="n">
        <v>5</v>
      </c>
      <c r="G94" s="6" t="n">
        <v>5</v>
      </c>
      <c r="H94" s="6" t="n">
        <v>0</v>
      </c>
      <c r="I94" s="6" t="n">
        <v>1</v>
      </c>
      <c r="J94" s="7">
        <f>(B94-'Model Coefficients'!$C$18)/'Model Coefficients'!$D$18</f>
        <v/>
      </c>
      <c r="K94" s="7">
        <f>(C94-'Model Coefficients'!$C$19)/'Model Coefficients'!$D$19</f>
        <v/>
      </c>
      <c r="L94" s="7">
        <f>(D94-'Model Coefficients'!$C$20)/'Model Coefficients'!$D$20</f>
        <v/>
      </c>
      <c r="M94" s="7">
        <f>(E94-'Model Coefficients'!$C$21)/'Model Coefficients'!$D$21</f>
        <v/>
      </c>
      <c r="N94" s="7">
        <f>(F94-'Model Coefficients'!$C$22)/'Model Coefficients'!$D$22</f>
        <v/>
      </c>
      <c r="O94" s="7">
        <f>(G94-'Model Coefficients'!$C$23)/'Model Coefficients'!$D$23</f>
        <v/>
      </c>
      <c r="P94" s="7">
        <f>(H94-'Model Coefficients'!$C$24)/'Model Coefficients'!$D$24</f>
        <v/>
      </c>
      <c r="Q94" s="7">
        <f>(I94-'Model Coefficients'!$C$25)/'Model Coefficients'!$D$25</f>
        <v/>
      </c>
      <c r="R94" s="7">
        <f>'Model Coefficients'!$C$6+'Model Coefficients'!$C$7*J94+'Model Coefficients'!$C$8*K94+'Model Coefficients'!$C$9*L94+'Model Coefficients'!$C$10*M94+'Model Coefficients'!$C$11*N94+'Model Coefficients'!$C$12*O94+'Model Coefficients'!$C$13*P94+'Model Coefficients'!$C$14*Q94</f>
        <v/>
      </c>
      <c r="S94" s="8">
        <f>1/(1+EXP(-R94))</f>
        <v/>
      </c>
      <c r="T94" s="6">
        <f>IF(S94&lt;0.15,"Low Risk",IF(S94&lt;0.35,"Medium Risk","High Risk"))</f>
        <v/>
      </c>
      <c r="U94" s="6" t="inlineStr">
        <is>
          <t>Defaulted</t>
        </is>
      </c>
    </row>
    <row r="95">
      <c r="A95" s="6" t="inlineStr">
        <is>
          <t>MFI-0094</t>
        </is>
      </c>
      <c r="B95" s="6" t="n">
        <v>84.04000000000001</v>
      </c>
      <c r="C95" s="6" t="n">
        <v>12</v>
      </c>
      <c r="D95" s="6" t="n">
        <v>33</v>
      </c>
      <c r="E95" s="6" t="n">
        <v>118.76</v>
      </c>
      <c r="F95" s="6" t="n">
        <v>2</v>
      </c>
      <c r="G95" s="6" t="n">
        <v>1</v>
      </c>
      <c r="H95" s="6" t="n">
        <v>1</v>
      </c>
      <c r="I95" s="6" t="n">
        <v>1</v>
      </c>
      <c r="J95" s="7">
        <f>(B95-'Model Coefficients'!$C$18)/'Model Coefficients'!$D$18</f>
        <v/>
      </c>
      <c r="K95" s="7">
        <f>(C95-'Model Coefficients'!$C$19)/'Model Coefficients'!$D$19</f>
        <v/>
      </c>
      <c r="L95" s="7">
        <f>(D95-'Model Coefficients'!$C$20)/'Model Coefficients'!$D$20</f>
        <v/>
      </c>
      <c r="M95" s="7">
        <f>(E95-'Model Coefficients'!$C$21)/'Model Coefficients'!$D$21</f>
        <v/>
      </c>
      <c r="N95" s="7">
        <f>(F95-'Model Coefficients'!$C$22)/'Model Coefficients'!$D$22</f>
        <v/>
      </c>
      <c r="O95" s="7">
        <f>(G95-'Model Coefficients'!$C$23)/'Model Coefficients'!$D$23</f>
        <v/>
      </c>
      <c r="P95" s="7">
        <f>(H95-'Model Coefficients'!$C$24)/'Model Coefficients'!$D$24</f>
        <v/>
      </c>
      <c r="Q95" s="7">
        <f>(I95-'Model Coefficients'!$C$25)/'Model Coefficients'!$D$25</f>
        <v/>
      </c>
      <c r="R95" s="7">
        <f>'Model Coefficients'!$C$6+'Model Coefficients'!$C$7*J95+'Model Coefficients'!$C$8*K95+'Model Coefficients'!$C$9*L95+'Model Coefficients'!$C$10*M95+'Model Coefficients'!$C$11*N95+'Model Coefficients'!$C$12*O95+'Model Coefficients'!$C$13*P95+'Model Coefficients'!$C$14*Q95</f>
        <v/>
      </c>
      <c r="S95" s="8">
        <f>1/(1+EXP(-R95))</f>
        <v/>
      </c>
      <c r="T95" s="6">
        <f>IF(S95&lt;0.15,"Low Risk",IF(S95&lt;0.35,"Medium Risk","High Risk"))</f>
        <v/>
      </c>
      <c r="U95" s="6" t="inlineStr">
        <is>
          <t>Repaid</t>
        </is>
      </c>
    </row>
    <row r="96">
      <c r="A96" s="6" t="inlineStr">
        <is>
          <t>MFI-0095</t>
        </is>
      </c>
      <c r="B96" s="6" t="n">
        <v>58.55</v>
      </c>
      <c r="C96" s="6" t="n">
        <v>12</v>
      </c>
      <c r="D96" s="6" t="n">
        <v>30</v>
      </c>
      <c r="E96" s="6" t="n">
        <v>90.56999999999999</v>
      </c>
      <c r="F96" s="6" t="n">
        <v>3</v>
      </c>
      <c r="G96" s="6" t="n">
        <v>5</v>
      </c>
      <c r="H96" s="6" t="n">
        <v>1</v>
      </c>
      <c r="I96" s="6" t="n">
        <v>0</v>
      </c>
      <c r="J96" s="7">
        <f>(B96-'Model Coefficients'!$C$18)/'Model Coefficients'!$D$18</f>
        <v/>
      </c>
      <c r="K96" s="7">
        <f>(C96-'Model Coefficients'!$C$19)/'Model Coefficients'!$D$19</f>
        <v/>
      </c>
      <c r="L96" s="7">
        <f>(D96-'Model Coefficients'!$C$20)/'Model Coefficients'!$D$20</f>
        <v/>
      </c>
      <c r="M96" s="7">
        <f>(E96-'Model Coefficients'!$C$21)/'Model Coefficients'!$D$21</f>
        <v/>
      </c>
      <c r="N96" s="7">
        <f>(F96-'Model Coefficients'!$C$22)/'Model Coefficients'!$D$22</f>
        <v/>
      </c>
      <c r="O96" s="7">
        <f>(G96-'Model Coefficients'!$C$23)/'Model Coefficients'!$D$23</f>
        <v/>
      </c>
      <c r="P96" s="7">
        <f>(H96-'Model Coefficients'!$C$24)/'Model Coefficients'!$D$24</f>
        <v/>
      </c>
      <c r="Q96" s="7">
        <f>(I96-'Model Coefficients'!$C$25)/'Model Coefficients'!$D$25</f>
        <v/>
      </c>
      <c r="R96" s="7">
        <f>'Model Coefficients'!$C$6+'Model Coefficients'!$C$7*J96+'Model Coefficients'!$C$8*K96+'Model Coefficients'!$C$9*L96+'Model Coefficients'!$C$10*M96+'Model Coefficients'!$C$11*N96+'Model Coefficients'!$C$12*O96+'Model Coefficients'!$C$13*P96+'Model Coefficients'!$C$14*Q96</f>
        <v/>
      </c>
      <c r="S96" s="8">
        <f>1/(1+EXP(-R96))</f>
        <v/>
      </c>
      <c r="T96" s="6">
        <f>IF(S96&lt;0.15,"Low Risk",IF(S96&lt;0.35,"Medium Risk","High Risk"))</f>
        <v/>
      </c>
      <c r="U96" s="6" t="inlineStr">
        <is>
          <t>Repaid</t>
        </is>
      </c>
    </row>
    <row r="97">
      <c r="A97" s="6" t="inlineStr">
        <is>
          <t>MFI-0096</t>
        </is>
      </c>
      <c r="B97" s="6" t="n">
        <v>138.82</v>
      </c>
      <c r="C97" s="6" t="n">
        <v>6</v>
      </c>
      <c r="D97" s="6" t="n">
        <v>28</v>
      </c>
      <c r="E97" s="6" t="n">
        <v>75.89</v>
      </c>
      <c r="F97" s="6" t="n">
        <v>4</v>
      </c>
      <c r="G97" s="6" t="n">
        <v>2</v>
      </c>
      <c r="H97" s="6" t="n">
        <v>1</v>
      </c>
      <c r="I97" s="6" t="n">
        <v>0</v>
      </c>
      <c r="J97" s="7">
        <f>(B97-'Model Coefficients'!$C$18)/'Model Coefficients'!$D$18</f>
        <v/>
      </c>
      <c r="K97" s="7">
        <f>(C97-'Model Coefficients'!$C$19)/'Model Coefficients'!$D$19</f>
        <v/>
      </c>
      <c r="L97" s="7">
        <f>(D97-'Model Coefficients'!$C$20)/'Model Coefficients'!$D$20</f>
        <v/>
      </c>
      <c r="M97" s="7">
        <f>(E97-'Model Coefficients'!$C$21)/'Model Coefficients'!$D$21</f>
        <v/>
      </c>
      <c r="N97" s="7">
        <f>(F97-'Model Coefficients'!$C$22)/'Model Coefficients'!$D$22</f>
        <v/>
      </c>
      <c r="O97" s="7">
        <f>(G97-'Model Coefficients'!$C$23)/'Model Coefficients'!$D$23</f>
        <v/>
      </c>
      <c r="P97" s="7">
        <f>(H97-'Model Coefficients'!$C$24)/'Model Coefficients'!$D$24</f>
        <v/>
      </c>
      <c r="Q97" s="7">
        <f>(I97-'Model Coefficients'!$C$25)/'Model Coefficients'!$D$25</f>
        <v/>
      </c>
      <c r="R97" s="7">
        <f>'Model Coefficients'!$C$6+'Model Coefficients'!$C$7*J97+'Model Coefficients'!$C$8*K97+'Model Coefficients'!$C$9*L97+'Model Coefficients'!$C$10*M97+'Model Coefficients'!$C$11*N97+'Model Coefficients'!$C$12*O97+'Model Coefficients'!$C$13*P97+'Model Coefficients'!$C$14*Q97</f>
        <v/>
      </c>
      <c r="S97" s="8">
        <f>1/(1+EXP(-R97))</f>
        <v/>
      </c>
      <c r="T97" s="6">
        <f>IF(S97&lt;0.15,"Low Risk",IF(S97&lt;0.35,"Medium Risk","High Risk"))</f>
        <v/>
      </c>
      <c r="U97" s="6" t="inlineStr">
        <is>
          <t>Repaid</t>
        </is>
      </c>
    </row>
    <row r="98">
      <c r="A98" s="6" t="inlineStr">
        <is>
          <t>MFI-0097</t>
        </is>
      </c>
      <c r="B98" s="6" t="n">
        <v>62.43</v>
      </c>
      <c r="C98" s="6" t="n">
        <v>12</v>
      </c>
      <c r="D98" s="6" t="n">
        <v>50</v>
      </c>
      <c r="E98" s="6" t="n">
        <v>52.43</v>
      </c>
      <c r="F98" s="6" t="n">
        <v>1</v>
      </c>
      <c r="G98" s="6" t="n">
        <v>0</v>
      </c>
      <c r="H98" s="6" t="n">
        <v>0</v>
      </c>
      <c r="I98" s="6" t="n">
        <v>1</v>
      </c>
      <c r="J98" s="7">
        <f>(B98-'Model Coefficients'!$C$18)/'Model Coefficients'!$D$18</f>
        <v/>
      </c>
      <c r="K98" s="7">
        <f>(C98-'Model Coefficients'!$C$19)/'Model Coefficients'!$D$19</f>
        <v/>
      </c>
      <c r="L98" s="7">
        <f>(D98-'Model Coefficients'!$C$20)/'Model Coefficients'!$D$20</f>
        <v/>
      </c>
      <c r="M98" s="7">
        <f>(E98-'Model Coefficients'!$C$21)/'Model Coefficients'!$D$21</f>
        <v/>
      </c>
      <c r="N98" s="7">
        <f>(F98-'Model Coefficients'!$C$22)/'Model Coefficients'!$D$22</f>
        <v/>
      </c>
      <c r="O98" s="7">
        <f>(G98-'Model Coefficients'!$C$23)/'Model Coefficients'!$D$23</f>
        <v/>
      </c>
      <c r="P98" s="7">
        <f>(H98-'Model Coefficients'!$C$24)/'Model Coefficients'!$D$24</f>
        <v/>
      </c>
      <c r="Q98" s="7">
        <f>(I98-'Model Coefficients'!$C$25)/'Model Coefficients'!$D$25</f>
        <v/>
      </c>
      <c r="R98" s="7">
        <f>'Model Coefficients'!$C$6+'Model Coefficients'!$C$7*J98+'Model Coefficients'!$C$8*K98+'Model Coefficients'!$C$9*L98+'Model Coefficients'!$C$10*M98+'Model Coefficients'!$C$11*N98+'Model Coefficients'!$C$12*O98+'Model Coefficients'!$C$13*P98+'Model Coefficients'!$C$14*Q98</f>
        <v/>
      </c>
      <c r="S98" s="8">
        <f>1/(1+EXP(-R98))</f>
        <v/>
      </c>
      <c r="T98" s="6">
        <f>IF(S98&lt;0.15,"Low Risk",IF(S98&lt;0.35,"Medium Risk","High Risk"))</f>
        <v/>
      </c>
      <c r="U98" s="6" t="inlineStr">
        <is>
          <t>Repaid</t>
        </is>
      </c>
    </row>
    <row r="99">
      <c r="A99" s="6" t="inlineStr">
        <is>
          <t>MFI-0098</t>
        </is>
      </c>
      <c r="B99" s="6" t="n">
        <v>264.52</v>
      </c>
      <c r="C99" s="6" t="n">
        <v>12</v>
      </c>
      <c r="D99" s="6" t="n">
        <v>22</v>
      </c>
      <c r="E99" s="6" t="n">
        <v>36.32</v>
      </c>
      <c r="F99" s="6" t="n">
        <v>5</v>
      </c>
      <c r="G99" s="6" t="n">
        <v>2</v>
      </c>
      <c r="H99" s="6" t="n">
        <v>0</v>
      </c>
      <c r="I99" s="6" t="n">
        <v>1</v>
      </c>
      <c r="J99" s="7">
        <f>(B99-'Model Coefficients'!$C$18)/'Model Coefficients'!$D$18</f>
        <v/>
      </c>
      <c r="K99" s="7">
        <f>(C99-'Model Coefficients'!$C$19)/'Model Coefficients'!$D$19</f>
        <v/>
      </c>
      <c r="L99" s="7">
        <f>(D99-'Model Coefficients'!$C$20)/'Model Coefficients'!$D$20</f>
        <v/>
      </c>
      <c r="M99" s="7">
        <f>(E99-'Model Coefficients'!$C$21)/'Model Coefficients'!$D$21</f>
        <v/>
      </c>
      <c r="N99" s="7">
        <f>(F99-'Model Coefficients'!$C$22)/'Model Coefficients'!$D$22</f>
        <v/>
      </c>
      <c r="O99" s="7">
        <f>(G99-'Model Coefficients'!$C$23)/'Model Coefficients'!$D$23</f>
        <v/>
      </c>
      <c r="P99" s="7">
        <f>(H99-'Model Coefficients'!$C$24)/'Model Coefficients'!$D$24</f>
        <v/>
      </c>
      <c r="Q99" s="7">
        <f>(I99-'Model Coefficients'!$C$25)/'Model Coefficients'!$D$25</f>
        <v/>
      </c>
      <c r="R99" s="7">
        <f>'Model Coefficients'!$C$6+'Model Coefficients'!$C$7*J99+'Model Coefficients'!$C$8*K99+'Model Coefficients'!$C$9*L99+'Model Coefficients'!$C$10*M99+'Model Coefficients'!$C$11*N99+'Model Coefficients'!$C$12*O99+'Model Coefficients'!$C$13*P99+'Model Coefficients'!$C$14*Q99</f>
        <v/>
      </c>
      <c r="S99" s="8">
        <f>1/(1+EXP(-R99))</f>
        <v/>
      </c>
      <c r="T99" s="6">
        <f>IF(S99&lt;0.15,"Low Risk",IF(S99&lt;0.35,"Medium Risk","High Risk"))</f>
        <v/>
      </c>
      <c r="U99" s="6" t="inlineStr">
        <is>
          <t>Defaulted</t>
        </is>
      </c>
    </row>
    <row r="100">
      <c r="A100" s="6" t="inlineStr">
        <is>
          <t>MFI-0099</t>
        </is>
      </c>
      <c r="B100" s="6" t="n">
        <v>70.16</v>
      </c>
      <c r="C100" s="6" t="n">
        <v>24</v>
      </c>
      <c r="D100" s="6" t="n">
        <v>43</v>
      </c>
      <c r="E100" s="6" t="n">
        <v>118.17</v>
      </c>
      <c r="F100" s="6" t="n">
        <v>5</v>
      </c>
      <c r="G100" s="6" t="n">
        <v>2</v>
      </c>
      <c r="H100" s="6" t="n">
        <v>1</v>
      </c>
      <c r="I100" s="6" t="n">
        <v>1</v>
      </c>
      <c r="J100" s="7">
        <f>(B100-'Model Coefficients'!$C$18)/'Model Coefficients'!$D$18</f>
        <v/>
      </c>
      <c r="K100" s="7">
        <f>(C100-'Model Coefficients'!$C$19)/'Model Coefficients'!$D$19</f>
        <v/>
      </c>
      <c r="L100" s="7">
        <f>(D100-'Model Coefficients'!$C$20)/'Model Coefficients'!$D$20</f>
        <v/>
      </c>
      <c r="M100" s="7">
        <f>(E100-'Model Coefficients'!$C$21)/'Model Coefficients'!$D$21</f>
        <v/>
      </c>
      <c r="N100" s="7">
        <f>(F100-'Model Coefficients'!$C$22)/'Model Coefficients'!$D$22</f>
        <v/>
      </c>
      <c r="O100" s="7">
        <f>(G100-'Model Coefficients'!$C$23)/'Model Coefficients'!$D$23</f>
        <v/>
      </c>
      <c r="P100" s="7">
        <f>(H100-'Model Coefficients'!$C$24)/'Model Coefficients'!$D$24</f>
        <v/>
      </c>
      <c r="Q100" s="7">
        <f>(I100-'Model Coefficients'!$C$25)/'Model Coefficients'!$D$25</f>
        <v/>
      </c>
      <c r="R100" s="7">
        <f>'Model Coefficients'!$C$6+'Model Coefficients'!$C$7*J100+'Model Coefficients'!$C$8*K100+'Model Coefficients'!$C$9*L100+'Model Coefficients'!$C$10*M100+'Model Coefficients'!$C$11*N100+'Model Coefficients'!$C$12*O100+'Model Coefficients'!$C$13*P100+'Model Coefficients'!$C$14*Q100</f>
        <v/>
      </c>
      <c r="S100" s="8">
        <f>1/(1+EXP(-R100))</f>
        <v/>
      </c>
      <c r="T100" s="6">
        <f>IF(S100&lt;0.15,"Low Risk",IF(S100&lt;0.35,"Medium Risk","High Risk"))</f>
        <v/>
      </c>
      <c r="U100" s="6" t="inlineStr">
        <is>
          <t>Repaid</t>
        </is>
      </c>
    </row>
    <row r="101">
      <c r="A101" s="6" t="inlineStr">
        <is>
          <t>MFI-0100</t>
        </is>
      </c>
      <c r="B101" s="6" t="n">
        <v>28.48</v>
      </c>
      <c r="C101" s="6" t="n">
        <v>12</v>
      </c>
      <c r="D101" s="6" t="n">
        <v>37</v>
      </c>
      <c r="E101" s="6" t="n">
        <v>39.7</v>
      </c>
      <c r="F101" s="6" t="n">
        <v>3</v>
      </c>
      <c r="G101" s="6" t="n">
        <v>3</v>
      </c>
      <c r="H101" s="6" t="n">
        <v>1</v>
      </c>
      <c r="I101" s="6" t="n">
        <v>0</v>
      </c>
      <c r="J101" s="7">
        <f>(B101-'Model Coefficients'!$C$18)/'Model Coefficients'!$D$18</f>
        <v/>
      </c>
      <c r="K101" s="7">
        <f>(C101-'Model Coefficients'!$C$19)/'Model Coefficients'!$D$19</f>
        <v/>
      </c>
      <c r="L101" s="7">
        <f>(D101-'Model Coefficients'!$C$20)/'Model Coefficients'!$D$20</f>
        <v/>
      </c>
      <c r="M101" s="7">
        <f>(E101-'Model Coefficients'!$C$21)/'Model Coefficients'!$D$21</f>
        <v/>
      </c>
      <c r="N101" s="7">
        <f>(F101-'Model Coefficients'!$C$22)/'Model Coefficients'!$D$22</f>
        <v/>
      </c>
      <c r="O101" s="7">
        <f>(G101-'Model Coefficients'!$C$23)/'Model Coefficients'!$D$23</f>
        <v/>
      </c>
      <c r="P101" s="7">
        <f>(H101-'Model Coefficients'!$C$24)/'Model Coefficients'!$D$24</f>
        <v/>
      </c>
      <c r="Q101" s="7">
        <f>(I101-'Model Coefficients'!$C$25)/'Model Coefficients'!$D$25</f>
        <v/>
      </c>
      <c r="R101" s="7">
        <f>'Model Coefficients'!$C$6+'Model Coefficients'!$C$7*J101+'Model Coefficients'!$C$8*K101+'Model Coefficients'!$C$9*L101+'Model Coefficients'!$C$10*M101+'Model Coefficients'!$C$11*N101+'Model Coefficients'!$C$12*O101+'Model Coefficients'!$C$13*P101+'Model Coefficients'!$C$14*Q101</f>
        <v/>
      </c>
      <c r="S101" s="8">
        <f>1/(1+EXP(-R101))</f>
        <v/>
      </c>
      <c r="T101" s="6">
        <f>IF(S101&lt;0.15,"Low Risk",IF(S101&lt;0.35,"Medium Risk","High Risk"))</f>
        <v/>
      </c>
      <c r="U101" s="6" t="inlineStr">
        <is>
          <t>Repaid</t>
        </is>
      </c>
    </row>
    <row r="102">
      <c r="A102" s="6" t="inlineStr">
        <is>
          <t>MFI-0101</t>
        </is>
      </c>
      <c r="B102" s="6" t="n">
        <v>176.59</v>
      </c>
      <c r="C102" s="6" t="n">
        <v>18</v>
      </c>
      <c r="D102" s="6" t="n">
        <v>41</v>
      </c>
      <c r="E102" s="6" t="n">
        <v>107.41</v>
      </c>
      <c r="F102" s="6" t="n">
        <v>3</v>
      </c>
      <c r="G102" s="6" t="n">
        <v>1</v>
      </c>
      <c r="H102" s="6" t="n">
        <v>1</v>
      </c>
      <c r="I102" s="6" t="n">
        <v>0</v>
      </c>
      <c r="J102" s="7">
        <f>(B102-'Model Coefficients'!$C$18)/'Model Coefficients'!$D$18</f>
        <v/>
      </c>
      <c r="K102" s="7">
        <f>(C102-'Model Coefficients'!$C$19)/'Model Coefficients'!$D$19</f>
        <v/>
      </c>
      <c r="L102" s="7">
        <f>(D102-'Model Coefficients'!$C$20)/'Model Coefficients'!$D$20</f>
        <v/>
      </c>
      <c r="M102" s="7">
        <f>(E102-'Model Coefficients'!$C$21)/'Model Coefficients'!$D$21</f>
        <v/>
      </c>
      <c r="N102" s="7">
        <f>(F102-'Model Coefficients'!$C$22)/'Model Coefficients'!$D$22</f>
        <v/>
      </c>
      <c r="O102" s="7">
        <f>(G102-'Model Coefficients'!$C$23)/'Model Coefficients'!$D$23</f>
        <v/>
      </c>
      <c r="P102" s="7">
        <f>(H102-'Model Coefficients'!$C$24)/'Model Coefficients'!$D$24</f>
        <v/>
      </c>
      <c r="Q102" s="7">
        <f>(I102-'Model Coefficients'!$C$25)/'Model Coefficients'!$D$25</f>
        <v/>
      </c>
      <c r="R102" s="7">
        <f>'Model Coefficients'!$C$6+'Model Coefficients'!$C$7*J102+'Model Coefficients'!$C$8*K102+'Model Coefficients'!$C$9*L102+'Model Coefficients'!$C$10*M102+'Model Coefficients'!$C$11*N102+'Model Coefficients'!$C$12*O102+'Model Coefficients'!$C$13*P102+'Model Coefficients'!$C$14*Q102</f>
        <v/>
      </c>
      <c r="S102" s="8">
        <f>1/(1+EXP(-R102))</f>
        <v/>
      </c>
      <c r="T102" s="6">
        <f>IF(S102&lt;0.15,"Low Risk",IF(S102&lt;0.35,"Medium Risk","High Risk"))</f>
        <v/>
      </c>
      <c r="U102" s="6" t="inlineStr">
        <is>
          <t>Repaid</t>
        </is>
      </c>
    </row>
    <row r="103">
      <c r="A103" s="6" t="inlineStr">
        <is>
          <t>MFI-0102</t>
        </is>
      </c>
      <c r="B103" s="6" t="n">
        <v>140.07</v>
      </c>
      <c r="C103" s="6" t="n">
        <v>18</v>
      </c>
      <c r="D103" s="6" t="n">
        <v>30</v>
      </c>
      <c r="E103" s="6" t="n">
        <v>20.99</v>
      </c>
      <c r="F103" s="6" t="n">
        <v>3</v>
      </c>
      <c r="G103" s="6" t="n">
        <v>5</v>
      </c>
      <c r="H103" s="6" t="n">
        <v>0</v>
      </c>
      <c r="I103" s="6" t="n">
        <v>1</v>
      </c>
      <c r="J103" s="7">
        <f>(B103-'Model Coefficients'!$C$18)/'Model Coefficients'!$D$18</f>
        <v/>
      </c>
      <c r="K103" s="7">
        <f>(C103-'Model Coefficients'!$C$19)/'Model Coefficients'!$D$19</f>
        <v/>
      </c>
      <c r="L103" s="7">
        <f>(D103-'Model Coefficients'!$C$20)/'Model Coefficients'!$D$20</f>
        <v/>
      </c>
      <c r="M103" s="7">
        <f>(E103-'Model Coefficients'!$C$21)/'Model Coefficients'!$D$21</f>
        <v/>
      </c>
      <c r="N103" s="7">
        <f>(F103-'Model Coefficients'!$C$22)/'Model Coefficients'!$D$22</f>
        <v/>
      </c>
      <c r="O103" s="7">
        <f>(G103-'Model Coefficients'!$C$23)/'Model Coefficients'!$D$23</f>
        <v/>
      </c>
      <c r="P103" s="7">
        <f>(H103-'Model Coefficients'!$C$24)/'Model Coefficients'!$D$24</f>
        <v/>
      </c>
      <c r="Q103" s="7">
        <f>(I103-'Model Coefficients'!$C$25)/'Model Coefficients'!$D$25</f>
        <v/>
      </c>
      <c r="R103" s="7">
        <f>'Model Coefficients'!$C$6+'Model Coefficients'!$C$7*J103+'Model Coefficients'!$C$8*K103+'Model Coefficients'!$C$9*L103+'Model Coefficients'!$C$10*M103+'Model Coefficients'!$C$11*N103+'Model Coefficients'!$C$12*O103+'Model Coefficients'!$C$13*P103+'Model Coefficients'!$C$14*Q103</f>
        <v/>
      </c>
      <c r="S103" s="8">
        <f>1/(1+EXP(-R103))</f>
        <v/>
      </c>
      <c r="T103" s="6">
        <f>IF(S103&lt;0.15,"Low Risk",IF(S103&lt;0.35,"Medium Risk","High Risk"))</f>
        <v/>
      </c>
      <c r="U103" s="6" t="inlineStr">
        <is>
          <t>Defaulted</t>
        </is>
      </c>
    </row>
    <row r="104">
      <c r="A104" s="6" t="inlineStr">
        <is>
          <t>MFI-0103</t>
        </is>
      </c>
      <c r="B104" s="6" t="n">
        <v>260.41</v>
      </c>
      <c r="C104" s="6" t="n">
        <v>24</v>
      </c>
      <c r="D104" s="6" t="n">
        <v>22</v>
      </c>
      <c r="E104" s="6" t="n">
        <v>99.13</v>
      </c>
      <c r="F104" s="6" t="n">
        <v>2</v>
      </c>
      <c r="G104" s="6" t="n">
        <v>1</v>
      </c>
      <c r="H104" s="6" t="n">
        <v>0</v>
      </c>
      <c r="I104" s="6" t="n">
        <v>1</v>
      </c>
      <c r="J104" s="7">
        <f>(B104-'Model Coefficients'!$C$18)/'Model Coefficients'!$D$18</f>
        <v/>
      </c>
      <c r="K104" s="7">
        <f>(C104-'Model Coefficients'!$C$19)/'Model Coefficients'!$D$19</f>
        <v/>
      </c>
      <c r="L104" s="7">
        <f>(D104-'Model Coefficients'!$C$20)/'Model Coefficients'!$D$20</f>
        <v/>
      </c>
      <c r="M104" s="7">
        <f>(E104-'Model Coefficients'!$C$21)/'Model Coefficients'!$D$21</f>
        <v/>
      </c>
      <c r="N104" s="7">
        <f>(F104-'Model Coefficients'!$C$22)/'Model Coefficients'!$D$22</f>
        <v/>
      </c>
      <c r="O104" s="7">
        <f>(G104-'Model Coefficients'!$C$23)/'Model Coefficients'!$D$23</f>
        <v/>
      </c>
      <c r="P104" s="7">
        <f>(H104-'Model Coefficients'!$C$24)/'Model Coefficients'!$D$24</f>
        <v/>
      </c>
      <c r="Q104" s="7">
        <f>(I104-'Model Coefficients'!$C$25)/'Model Coefficients'!$D$25</f>
        <v/>
      </c>
      <c r="R104" s="7">
        <f>'Model Coefficients'!$C$6+'Model Coefficients'!$C$7*J104+'Model Coefficients'!$C$8*K104+'Model Coefficients'!$C$9*L104+'Model Coefficients'!$C$10*M104+'Model Coefficients'!$C$11*N104+'Model Coefficients'!$C$12*O104+'Model Coefficients'!$C$13*P104+'Model Coefficients'!$C$14*Q104</f>
        <v/>
      </c>
      <c r="S104" s="8">
        <f>1/(1+EXP(-R104))</f>
        <v/>
      </c>
      <c r="T104" s="6">
        <f>IF(S104&lt;0.15,"Low Risk",IF(S104&lt;0.35,"Medium Risk","High Risk"))</f>
        <v/>
      </c>
      <c r="U104" s="6" t="inlineStr">
        <is>
          <t>Repaid</t>
        </is>
      </c>
    </row>
    <row r="105">
      <c r="A105" s="6" t="inlineStr">
        <is>
          <t>MFI-0104</t>
        </is>
      </c>
      <c r="B105" s="6" t="n">
        <v>65.03</v>
      </c>
      <c r="C105" s="6" t="n">
        <v>24</v>
      </c>
      <c r="D105" s="6" t="n">
        <v>38</v>
      </c>
      <c r="E105" s="6" t="n">
        <v>106.31</v>
      </c>
      <c r="F105" s="6" t="n">
        <v>3</v>
      </c>
      <c r="G105" s="6" t="n">
        <v>5</v>
      </c>
      <c r="H105" s="6" t="n">
        <v>0</v>
      </c>
      <c r="I105" s="6" t="n">
        <v>0</v>
      </c>
      <c r="J105" s="7">
        <f>(B105-'Model Coefficients'!$C$18)/'Model Coefficients'!$D$18</f>
        <v/>
      </c>
      <c r="K105" s="7">
        <f>(C105-'Model Coefficients'!$C$19)/'Model Coefficients'!$D$19</f>
        <v/>
      </c>
      <c r="L105" s="7">
        <f>(D105-'Model Coefficients'!$C$20)/'Model Coefficients'!$D$20</f>
        <v/>
      </c>
      <c r="M105" s="7">
        <f>(E105-'Model Coefficients'!$C$21)/'Model Coefficients'!$D$21</f>
        <v/>
      </c>
      <c r="N105" s="7">
        <f>(F105-'Model Coefficients'!$C$22)/'Model Coefficients'!$D$22</f>
        <v/>
      </c>
      <c r="O105" s="7">
        <f>(G105-'Model Coefficients'!$C$23)/'Model Coefficients'!$D$23</f>
        <v/>
      </c>
      <c r="P105" s="7">
        <f>(H105-'Model Coefficients'!$C$24)/'Model Coefficients'!$D$24</f>
        <v/>
      </c>
      <c r="Q105" s="7">
        <f>(I105-'Model Coefficients'!$C$25)/'Model Coefficients'!$D$25</f>
        <v/>
      </c>
      <c r="R105" s="7">
        <f>'Model Coefficients'!$C$6+'Model Coefficients'!$C$7*J105+'Model Coefficients'!$C$8*K105+'Model Coefficients'!$C$9*L105+'Model Coefficients'!$C$10*M105+'Model Coefficients'!$C$11*N105+'Model Coefficients'!$C$12*O105+'Model Coefficients'!$C$13*P105+'Model Coefficients'!$C$14*Q105</f>
        <v/>
      </c>
      <c r="S105" s="8">
        <f>1/(1+EXP(-R105))</f>
        <v/>
      </c>
      <c r="T105" s="6">
        <f>IF(S105&lt;0.15,"Low Risk",IF(S105&lt;0.35,"Medium Risk","High Risk"))</f>
        <v/>
      </c>
      <c r="U105" s="6" t="inlineStr">
        <is>
          <t>Repaid</t>
        </is>
      </c>
    </row>
    <row r="106">
      <c r="A106" s="6" t="inlineStr">
        <is>
          <t>MFI-0105</t>
        </is>
      </c>
      <c r="B106" s="6" t="n">
        <v>120.9</v>
      </c>
      <c r="C106" s="6" t="n">
        <v>18</v>
      </c>
      <c r="D106" s="6" t="n">
        <v>32</v>
      </c>
      <c r="E106" s="6" t="n">
        <v>40.72</v>
      </c>
      <c r="F106" s="6" t="n">
        <v>2</v>
      </c>
      <c r="G106" s="6" t="n">
        <v>5</v>
      </c>
      <c r="H106" s="6" t="n">
        <v>1</v>
      </c>
      <c r="I106" s="6" t="n">
        <v>0</v>
      </c>
      <c r="J106" s="7">
        <f>(B106-'Model Coefficients'!$C$18)/'Model Coefficients'!$D$18</f>
        <v/>
      </c>
      <c r="K106" s="7">
        <f>(C106-'Model Coefficients'!$C$19)/'Model Coefficients'!$D$19</f>
        <v/>
      </c>
      <c r="L106" s="7">
        <f>(D106-'Model Coefficients'!$C$20)/'Model Coefficients'!$D$20</f>
        <v/>
      </c>
      <c r="M106" s="7">
        <f>(E106-'Model Coefficients'!$C$21)/'Model Coefficients'!$D$21</f>
        <v/>
      </c>
      <c r="N106" s="7">
        <f>(F106-'Model Coefficients'!$C$22)/'Model Coefficients'!$D$22</f>
        <v/>
      </c>
      <c r="O106" s="7">
        <f>(G106-'Model Coefficients'!$C$23)/'Model Coefficients'!$D$23</f>
        <v/>
      </c>
      <c r="P106" s="7">
        <f>(H106-'Model Coefficients'!$C$24)/'Model Coefficients'!$D$24</f>
        <v/>
      </c>
      <c r="Q106" s="7">
        <f>(I106-'Model Coefficients'!$C$25)/'Model Coefficients'!$D$25</f>
        <v/>
      </c>
      <c r="R106" s="7">
        <f>'Model Coefficients'!$C$6+'Model Coefficients'!$C$7*J106+'Model Coefficients'!$C$8*K106+'Model Coefficients'!$C$9*L106+'Model Coefficients'!$C$10*M106+'Model Coefficients'!$C$11*N106+'Model Coefficients'!$C$12*O106+'Model Coefficients'!$C$13*P106+'Model Coefficients'!$C$14*Q106</f>
        <v/>
      </c>
      <c r="S106" s="8">
        <f>1/(1+EXP(-R106))</f>
        <v/>
      </c>
      <c r="T106" s="6">
        <f>IF(S106&lt;0.15,"Low Risk",IF(S106&lt;0.35,"Medium Risk","High Risk"))</f>
        <v/>
      </c>
      <c r="U106" s="6" t="inlineStr">
        <is>
          <t>Repaid</t>
        </is>
      </c>
    </row>
    <row r="107">
      <c r="A107" s="6" t="inlineStr">
        <is>
          <t>MFI-0106</t>
        </is>
      </c>
      <c r="B107" s="6" t="n">
        <v>199.34</v>
      </c>
      <c r="C107" s="6" t="n">
        <v>12</v>
      </c>
      <c r="D107" s="6" t="n">
        <v>51</v>
      </c>
      <c r="E107" s="6" t="n">
        <v>117.58</v>
      </c>
      <c r="F107" s="6" t="n">
        <v>3</v>
      </c>
      <c r="G107" s="6" t="n">
        <v>0</v>
      </c>
      <c r="H107" s="6" t="n">
        <v>0</v>
      </c>
      <c r="I107" s="6" t="n">
        <v>0</v>
      </c>
      <c r="J107" s="7">
        <f>(B107-'Model Coefficients'!$C$18)/'Model Coefficients'!$D$18</f>
        <v/>
      </c>
      <c r="K107" s="7">
        <f>(C107-'Model Coefficients'!$C$19)/'Model Coefficients'!$D$19</f>
        <v/>
      </c>
      <c r="L107" s="7">
        <f>(D107-'Model Coefficients'!$C$20)/'Model Coefficients'!$D$20</f>
        <v/>
      </c>
      <c r="M107" s="7">
        <f>(E107-'Model Coefficients'!$C$21)/'Model Coefficients'!$D$21</f>
        <v/>
      </c>
      <c r="N107" s="7">
        <f>(F107-'Model Coefficients'!$C$22)/'Model Coefficients'!$D$22</f>
        <v/>
      </c>
      <c r="O107" s="7">
        <f>(G107-'Model Coefficients'!$C$23)/'Model Coefficients'!$D$23</f>
        <v/>
      </c>
      <c r="P107" s="7">
        <f>(H107-'Model Coefficients'!$C$24)/'Model Coefficients'!$D$24</f>
        <v/>
      </c>
      <c r="Q107" s="7">
        <f>(I107-'Model Coefficients'!$C$25)/'Model Coefficients'!$D$25</f>
        <v/>
      </c>
      <c r="R107" s="7">
        <f>'Model Coefficients'!$C$6+'Model Coefficients'!$C$7*J107+'Model Coefficients'!$C$8*K107+'Model Coefficients'!$C$9*L107+'Model Coefficients'!$C$10*M107+'Model Coefficients'!$C$11*N107+'Model Coefficients'!$C$12*O107+'Model Coefficients'!$C$13*P107+'Model Coefficients'!$C$14*Q107</f>
        <v/>
      </c>
      <c r="S107" s="8">
        <f>1/(1+EXP(-R107))</f>
        <v/>
      </c>
      <c r="T107" s="6">
        <f>IF(S107&lt;0.15,"Low Risk",IF(S107&lt;0.35,"Medium Risk","High Risk"))</f>
        <v/>
      </c>
      <c r="U107" s="6" t="inlineStr">
        <is>
          <t>Repaid</t>
        </is>
      </c>
    </row>
    <row r="108">
      <c r="A108" s="6" t="inlineStr">
        <is>
          <t>MFI-0107</t>
        </is>
      </c>
      <c r="B108" s="6" t="n">
        <v>280.7</v>
      </c>
      <c r="C108" s="6" t="n">
        <v>24</v>
      </c>
      <c r="D108" s="6" t="n">
        <v>33</v>
      </c>
      <c r="E108" s="6" t="n">
        <v>54.04</v>
      </c>
      <c r="F108" s="6" t="n">
        <v>0</v>
      </c>
      <c r="G108" s="6" t="n">
        <v>4</v>
      </c>
      <c r="H108" s="6" t="n">
        <v>1</v>
      </c>
      <c r="I108" s="6" t="n">
        <v>0</v>
      </c>
      <c r="J108" s="7">
        <f>(B108-'Model Coefficients'!$C$18)/'Model Coefficients'!$D$18</f>
        <v/>
      </c>
      <c r="K108" s="7">
        <f>(C108-'Model Coefficients'!$C$19)/'Model Coefficients'!$D$19</f>
        <v/>
      </c>
      <c r="L108" s="7">
        <f>(D108-'Model Coefficients'!$C$20)/'Model Coefficients'!$D$20</f>
        <v/>
      </c>
      <c r="M108" s="7">
        <f>(E108-'Model Coefficients'!$C$21)/'Model Coefficients'!$D$21</f>
        <v/>
      </c>
      <c r="N108" s="7">
        <f>(F108-'Model Coefficients'!$C$22)/'Model Coefficients'!$D$22</f>
        <v/>
      </c>
      <c r="O108" s="7">
        <f>(G108-'Model Coefficients'!$C$23)/'Model Coefficients'!$D$23</f>
        <v/>
      </c>
      <c r="P108" s="7">
        <f>(H108-'Model Coefficients'!$C$24)/'Model Coefficients'!$D$24</f>
        <v/>
      </c>
      <c r="Q108" s="7">
        <f>(I108-'Model Coefficients'!$C$25)/'Model Coefficients'!$D$25</f>
        <v/>
      </c>
      <c r="R108" s="7">
        <f>'Model Coefficients'!$C$6+'Model Coefficients'!$C$7*J108+'Model Coefficients'!$C$8*K108+'Model Coefficients'!$C$9*L108+'Model Coefficients'!$C$10*M108+'Model Coefficients'!$C$11*N108+'Model Coefficients'!$C$12*O108+'Model Coefficients'!$C$13*P108+'Model Coefficients'!$C$14*Q108</f>
        <v/>
      </c>
      <c r="S108" s="8">
        <f>1/(1+EXP(-R108))</f>
        <v/>
      </c>
      <c r="T108" s="6">
        <f>IF(S108&lt;0.15,"Low Risk",IF(S108&lt;0.35,"Medium Risk","High Risk"))</f>
        <v/>
      </c>
      <c r="U108" s="6" t="inlineStr">
        <is>
          <t>Defaulted</t>
        </is>
      </c>
    </row>
    <row r="109">
      <c r="A109" s="6" t="inlineStr">
        <is>
          <t>MFI-0108</t>
        </is>
      </c>
      <c r="B109" s="6" t="n">
        <v>93.3</v>
      </c>
      <c r="C109" s="6" t="n">
        <v>24</v>
      </c>
      <c r="D109" s="6" t="n">
        <v>32</v>
      </c>
      <c r="E109" s="6" t="n">
        <v>31.63</v>
      </c>
      <c r="F109" s="6" t="n">
        <v>0</v>
      </c>
      <c r="G109" s="6" t="n">
        <v>2</v>
      </c>
      <c r="H109" s="6" t="n">
        <v>0</v>
      </c>
      <c r="I109" s="6" t="n">
        <v>0</v>
      </c>
      <c r="J109" s="7">
        <f>(B109-'Model Coefficients'!$C$18)/'Model Coefficients'!$D$18</f>
        <v/>
      </c>
      <c r="K109" s="7">
        <f>(C109-'Model Coefficients'!$C$19)/'Model Coefficients'!$D$19</f>
        <v/>
      </c>
      <c r="L109" s="7">
        <f>(D109-'Model Coefficients'!$C$20)/'Model Coefficients'!$D$20</f>
        <v/>
      </c>
      <c r="M109" s="7">
        <f>(E109-'Model Coefficients'!$C$21)/'Model Coefficients'!$D$21</f>
        <v/>
      </c>
      <c r="N109" s="7">
        <f>(F109-'Model Coefficients'!$C$22)/'Model Coefficients'!$D$22</f>
        <v/>
      </c>
      <c r="O109" s="7">
        <f>(G109-'Model Coefficients'!$C$23)/'Model Coefficients'!$D$23</f>
        <v/>
      </c>
      <c r="P109" s="7">
        <f>(H109-'Model Coefficients'!$C$24)/'Model Coefficients'!$D$24</f>
        <v/>
      </c>
      <c r="Q109" s="7">
        <f>(I109-'Model Coefficients'!$C$25)/'Model Coefficients'!$D$25</f>
        <v/>
      </c>
      <c r="R109" s="7">
        <f>'Model Coefficients'!$C$6+'Model Coefficients'!$C$7*J109+'Model Coefficients'!$C$8*K109+'Model Coefficients'!$C$9*L109+'Model Coefficients'!$C$10*M109+'Model Coefficients'!$C$11*N109+'Model Coefficients'!$C$12*O109+'Model Coefficients'!$C$13*P109+'Model Coefficients'!$C$14*Q109</f>
        <v/>
      </c>
      <c r="S109" s="8">
        <f>1/(1+EXP(-R109))</f>
        <v/>
      </c>
      <c r="T109" s="6">
        <f>IF(S109&lt;0.15,"Low Risk",IF(S109&lt;0.35,"Medium Risk","High Risk"))</f>
        <v/>
      </c>
      <c r="U109" s="6" t="inlineStr">
        <is>
          <t>Repaid</t>
        </is>
      </c>
    </row>
    <row r="110">
      <c r="A110" s="6" t="inlineStr">
        <is>
          <t>MFI-0109</t>
        </is>
      </c>
      <c r="B110" s="6" t="n">
        <v>212.67</v>
      </c>
      <c r="C110" s="6" t="n">
        <v>18</v>
      </c>
      <c r="D110" s="6" t="n">
        <v>35</v>
      </c>
      <c r="E110" s="6" t="n">
        <v>59.05</v>
      </c>
      <c r="F110" s="6" t="n">
        <v>2</v>
      </c>
      <c r="G110" s="6" t="n">
        <v>3</v>
      </c>
      <c r="H110" s="6" t="n">
        <v>0</v>
      </c>
      <c r="I110" s="6" t="n">
        <v>0</v>
      </c>
      <c r="J110" s="7">
        <f>(B110-'Model Coefficients'!$C$18)/'Model Coefficients'!$D$18</f>
        <v/>
      </c>
      <c r="K110" s="7">
        <f>(C110-'Model Coefficients'!$C$19)/'Model Coefficients'!$D$19</f>
        <v/>
      </c>
      <c r="L110" s="7">
        <f>(D110-'Model Coefficients'!$C$20)/'Model Coefficients'!$D$20</f>
        <v/>
      </c>
      <c r="M110" s="7">
        <f>(E110-'Model Coefficients'!$C$21)/'Model Coefficients'!$D$21</f>
        <v/>
      </c>
      <c r="N110" s="7">
        <f>(F110-'Model Coefficients'!$C$22)/'Model Coefficients'!$D$22</f>
        <v/>
      </c>
      <c r="O110" s="7">
        <f>(G110-'Model Coefficients'!$C$23)/'Model Coefficients'!$D$23</f>
        <v/>
      </c>
      <c r="P110" s="7">
        <f>(H110-'Model Coefficients'!$C$24)/'Model Coefficients'!$D$24</f>
        <v/>
      </c>
      <c r="Q110" s="7">
        <f>(I110-'Model Coefficients'!$C$25)/'Model Coefficients'!$D$25</f>
        <v/>
      </c>
      <c r="R110" s="7">
        <f>'Model Coefficients'!$C$6+'Model Coefficients'!$C$7*J110+'Model Coefficients'!$C$8*K110+'Model Coefficients'!$C$9*L110+'Model Coefficients'!$C$10*M110+'Model Coefficients'!$C$11*N110+'Model Coefficients'!$C$12*O110+'Model Coefficients'!$C$13*P110+'Model Coefficients'!$C$14*Q110</f>
        <v/>
      </c>
      <c r="S110" s="8">
        <f>1/(1+EXP(-R110))</f>
        <v/>
      </c>
      <c r="T110" s="6">
        <f>IF(S110&lt;0.15,"Low Risk",IF(S110&lt;0.35,"Medium Risk","High Risk"))</f>
        <v/>
      </c>
      <c r="U110" s="6" t="inlineStr">
        <is>
          <t>Repaid</t>
        </is>
      </c>
    </row>
    <row r="111">
      <c r="A111" s="6" t="inlineStr">
        <is>
          <t>MFI-0110</t>
        </is>
      </c>
      <c r="B111" s="6" t="n">
        <v>61.73</v>
      </c>
      <c r="C111" s="6" t="n">
        <v>18</v>
      </c>
      <c r="D111" s="6" t="n">
        <v>21</v>
      </c>
      <c r="E111" s="6" t="n">
        <v>117.09</v>
      </c>
      <c r="F111" s="6" t="n">
        <v>0</v>
      </c>
      <c r="G111" s="6" t="n">
        <v>1</v>
      </c>
      <c r="H111" s="6" t="n">
        <v>0</v>
      </c>
      <c r="I111" s="6" t="n">
        <v>1</v>
      </c>
      <c r="J111" s="7">
        <f>(B111-'Model Coefficients'!$C$18)/'Model Coefficients'!$D$18</f>
        <v/>
      </c>
      <c r="K111" s="7">
        <f>(C111-'Model Coefficients'!$C$19)/'Model Coefficients'!$D$19</f>
        <v/>
      </c>
      <c r="L111" s="7">
        <f>(D111-'Model Coefficients'!$C$20)/'Model Coefficients'!$D$20</f>
        <v/>
      </c>
      <c r="M111" s="7">
        <f>(E111-'Model Coefficients'!$C$21)/'Model Coefficients'!$D$21</f>
        <v/>
      </c>
      <c r="N111" s="7">
        <f>(F111-'Model Coefficients'!$C$22)/'Model Coefficients'!$D$22</f>
        <v/>
      </c>
      <c r="O111" s="7">
        <f>(G111-'Model Coefficients'!$C$23)/'Model Coefficients'!$D$23</f>
        <v/>
      </c>
      <c r="P111" s="7">
        <f>(H111-'Model Coefficients'!$C$24)/'Model Coefficients'!$D$24</f>
        <v/>
      </c>
      <c r="Q111" s="7">
        <f>(I111-'Model Coefficients'!$C$25)/'Model Coefficients'!$D$25</f>
        <v/>
      </c>
      <c r="R111" s="7">
        <f>'Model Coefficients'!$C$6+'Model Coefficients'!$C$7*J111+'Model Coefficients'!$C$8*K111+'Model Coefficients'!$C$9*L111+'Model Coefficients'!$C$10*M111+'Model Coefficients'!$C$11*N111+'Model Coefficients'!$C$12*O111+'Model Coefficients'!$C$13*P111+'Model Coefficients'!$C$14*Q111</f>
        <v/>
      </c>
      <c r="S111" s="8">
        <f>1/(1+EXP(-R111))</f>
        <v/>
      </c>
      <c r="T111" s="6">
        <f>IF(S111&lt;0.15,"Low Risk",IF(S111&lt;0.35,"Medium Risk","High Risk"))</f>
        <v/>
      </c>
      <c r="U111" s="6" t="inlineStr">
        <is>
          <t>Repaid</t>
        </is>
      </c>
    </row>
    <row r="112">
      <c r="A112" s="6" t="inlineStr">
        <is>
          <t>MFI-0111</t>
        </is>
      </c>
      <c r="B112" s="6" t="n">
        <v>227.24</v>
      </c>
      <c r="C112" s="6" t="n">
        <v>6</v>
      </c>
      <c r="D112" s="6" t="n">
        <v>39</v>
      </c>
      <c r="E112" s="6" t="n">
        <v>26.92</v>
      </c>
      <c r="F112" s="6" t="n">
        <v>4</v>
      </c>
      <c r="G112" s="6" t="n">
        <v>2</v>
      </c>
      <c r="H112" s="6" t="n">
        <v>1</v>
      </c>
      <c r="I112" s="6" t="n">
        <v>1</v>
      </c>
      <c r="J112" s="7">
        <f>(B112-'Model Coefficients'!$C$18)/'Model Coefficients'!$D$18</f>
        <v/>
      </c>
      <c r="K112" s="7">
        <f>(C112-'Model Coefficients'!$C$19)/'Model Coefficients'!$D$19</f>
        <v/>
      </c>
      <c r="L112" s="7">
        <f>(D112-'Model Coefficients'!$C$20)/'Model Coefficients'!$D$20</f>
        <v/>
      </c>
      <c r="M112" s="7">
        <f>(E112-'Model Coefficients'!$C$21)/'Model Coefficients'!$D$21</f>
        <v/>
      </c>
      <c r="N112" s="7">
        <f>(F112-'Model Coefficients'!$C$22)/'Model Coefficients'!$D$22</f>
        <v/>
      </c>
      <c r="O112" s="7">
        <f>(G112-'Model Coefficients'!$C$23)/'Model Coefficients'!$D$23</f>
        <v/>
      </c>
      <c r="P112" s="7">
        <f>(H112-'Model Coefficients'!$C$24)/'Model Coefficients'!$D$24</f>
        <v/>
      </c>
      <c r="Q112" s="7">
        <f>(I112-'Model Coefficients'!$C$25)/'Model Coefficients'!$D$25</f>
        <v/>
      </c>
      <c r="R112" s="7">
        <f>'Model Coefficients'!$C$6+'Model Coefficients'!$C$7*J112+'Model Coefficients'!$C$8*K112+'Model Coefficients'!$C$9*L112+'Model Coefficients'!$C$10*M112+'Model Coefficients'!$C$11*N112+'Model Coefficients'!$C$12*O112+'Model Coefficients'!$C$13*P112+'Model Coefficients'!$C$14*Q112</f>
        <v/>
      </c>
      <c r="S112" s="8">
        <f>1/(1+EXP(-R112))</f>
        <v/>
      </c>
      <c r="T112" s="6">
        <f>IF(S112&lt;0.15,"Low Risk",IF(S112&lt;0.35,"Medium Risk","High Risk"))</f>
        <v/>
      </c>
      <c r="U112" s="6" t="inlineStr">
        <is>
          <t>Defaulted</t>
        </is>
      </c>
    </row>
    <row r="113">
      <c r="A113" s="6" t="inlineStr">
        <is>
          <t>MFI-0112</t>
        </is>
      </c>
      <c r="B113" s="6" t="n">
        <v>102.09</v>
      </c>
      <c r="C113" s="6" t="n">
        <v>12</v>
      </c>
      <c r="D113" s="6" t="n">
        <v>53</v>
      </c>
      <c r="E113" s="6" t="n">
        <v>87.76000000000001</v>
      </c>
      <c r="F113" s="6" t="n">
        <v>2</v>
      </c>
      <c r="G113" s="6" t="n">
        <v>4</v>
      </c>
      <c r="H113" s="6" t="n">
        <v>1</v>
      </c>
      <c r="I113" s="6" t="n">
        <v>1</v>
      </c>
      <c r="J113" s="7">
        <f>(B113-'Model Coefficients'!$C$18)/'Model Coefficients'!$D$18</f>
        <v/>
      </c>
      <c r="K113" s="7">
        <f>(C113-'Model Coefficients'!$C$19)/'Model Coefficients'!$D$19</f>
        <v/>
      </c>
      <c r="L113" s="7">
        <f>(D113-'Model Coefficients'!$C$20)/'Model Coefficients'!$D$20</f>
        <v/>
      </c>
      <c r="M113" s="7">
        <f>(E113-'Model Coefficients'!$C$21)/'Model Coefficients'!$D$21</f>
        <v/>
      </c>
      <c r="N113" s="7">
        <f>(F113-'Model Coefficients'!$C$22)/'Model Coefficients'!$D$22</f>
        <v/>
      </c>
      <c r="O113" s="7">
        <f>(G113-'Model Coefficients'!$C$23)/'Model Coefficients'!$D$23</f>
        <v/>
      </c>
      <c r="P113" s="7">
        <f>(H113-'Model Coefficients'!$C$24)/'Model Coefficients'!$D$24</f>
        <v/>
      </c>
      <c r="Q113" s="7">
        <f>(I113-'Model Coefficients'!$C$25)/'Model Coefficients'!$D$25</f>
        <v/>
      </c>
      <c r="R113" s="7">
        <f>'Model Coefficients'!$C$6+'Model Coefficients'!$C$7*J113+'Model Coefficients'!$C$8*K113+'Model Coefficients'!$C$9*L113+'Model Coefficients'!$C$10*M113+'Model Coefficients'!$C$11*N113+'Model Coefficients'!$C$12*O113+'Model Coefficients'!$C$13*P113+'Model Coefficients'!$C$14*Q113</f>
        <v/>
      </c>
      <c r="S113" s="8">
        <f>1/(1+EXP(-R113))</f>
        <v/>
      </c>
      <c r="T113" s="6">
        <f>IF(S113&lt;0.15,"Low Risk",IF(S113&lt;0.35,"Medium Risk","High Risk"))</f>
        <v/>
      </c>
      <c r="U113" s="6" t="inlineStr">
        <is>
          <t>Repaid</t>
        </is>
      </c>
    </row>
    <row r="114">
      <c r="A114" s="6" t="inlineStr">
        <is>
          <t>MFI-0113</t>
        </is>
      </c>
      <c r="B114" s="6" t="n">
        <v>88.25</v>
      </c>
      <c r="C114" s="6" t="n">
        <v>18</v>
      </c>
      <c r="D114" s="6" t="n">
        <v>40</v>
      </c>
      <c r="E114" s="6" t="n">
        <v>29.29</v>
      </c>
      <c r="F114" s="6" t="n">
        <v>5</v>
      </c>
      <c r="G114" s="6" t="n">
        <v>3</v>
      </c>
      <c r="H114" s="6" t="n">
        <v>1</v>
      </c>
      <c r="I114" s="6" t="n">
        <v>0</v>
      </c>
      <c r="J114" s="7">
        <f>(B114-'Model Coefficients'!$C$18)/'Model Coefficients'!$D$18</f>
        <v/>
      </c>
      <c r="K114" s="7">
        <f>(C114-'Model Coefficients'!$C$19)/'Model Coefficients'!$D$19</f>
        <v/>
      </c>
      <c r="L114" s="7">
        <f>(D114-'Model Coefficients'!$C$20)/'Model Coefficients'!$D$20</f>
        <v/>
      </c>
      <c r="M114" s="7">
        <f>(E114-'Model Coefficients'!$C$21)/'Model Coefficients'!$D$21</f>
        <v/>
      </c>
      <c r="N114" s="7">
        <f>(F114-'Model Coefficients'!$C$22)/'Model Coefficients'!$D$22</f>
        <v/>
      </c>
      <c r="O114" s="7">
        <f>(G114-'Model Coefficients'!$C$23)/'Model Coefficients'!$D$23</f>
        <v/>
      </c>
      <c r="P114" s="7">
        <f>(H114-'Model Coefficients'!$C$24)/'Model Coefficients'!$D$24</f>
        <v/>
      </c>
      <c r="Q114" s="7">
        <f>(I114-'Model Coefficients'!$C$25)/'Model Coefficients'!$D$25</f>
        <v/>
      </c>
      <c r="R114" s="7">
        <f>'Model Coefficients'!$C$6+'Model Coefficients'!$C$7*J114+'Model Coefficients'!$C$8*K114+'Model Coefficients'!$C$9*L114+'Model Coefficients'!$C$10*M114+'Model Coefficients'!$C$11*N114+'Model Coefficients'!$C$12*O114+'Model Coefficients'!$C$13*P114+'Model Coefficients'!$C$14*Q114</f>
        <v/>
      </c>
      <c r="S114" s="8">
        <f>1/(1+EXP(-R114))</f>
        <v/>
      </c>
      <c r="T114" s="6">
        <f>IF(S114&lt;0.15,"Low Risk",IF(S114&lt;0.35,"Medium Risk","High Risk"))</f>
        <v/>
      </c>
      <c r="U114" s="6" t="inlineStr">
        <is>
          <t>Repaid</t>
        </is>
      </c>
    </row>
    <row r="115">
      <c r="A115" s="6" t="inlineStr">
        <is>
          <t>MFI-0114</t>
        </is>
      </c>
      <c r="B115" s="6" t="n">
        <v>84.34999999999999</v>
      </c>
      <c r="C115" s="6" t="n">
        <v>24</v>
      </c>
      <c r="D115" s="6" t="n">
        <v>39</v>
      </c>
      <c r="E115" s="6" t="n">
        <v>86.95999999999999</v>
      </c>
      <c r="F115" s="6" t="n">
        <v>0</v>
      </c>
      <c r="G115" s="6" t="n">
        <v>2</v>
      </c>
      <c r="H115" s="6" t="n">
        <v>1</v>
      </c>
      <c r="I115" s="6" t="n">
        <v>1</v>
      </c>
      <c r="J115" s="7">
        <f>(B115-'Model Coefficients'!$C$18)/'Model Coefficients'!$D$18</f>
        <v/>
      </c>
      <c r="K115" s="7">
        <f>(C115-'Model Coefficients'!$C$19)/'Model Coefficients'!$D$19</f>
        <v/>
      </c>
      <c r="L115" s="7">
        <f>(D115-'Model Coefficients'!$C$20)/'Model Coefficients'!$D$20</f>
        <v/>
      </c>
      <c r="M115" s="7">
        <f>(E115-'Model Coefficients'!$C$21)/'Model Coefficients'!$D$21</f>
        <v/>
      </c>
      <c r="N115" s="7">
        <f>(F115-'Model Coefficients'!$C$22)/'Model Coefficients'!$D$22</f>
        <v/>
      </c>
      <c r="O115" s="7">
        <f>(G115-'Model Coefficients'!$C$23)/'Model Coefficients'!$D$23</f>
        <v/>
      </c>
      <c r="P115" s="7">
        <f>(H115-'Model Coefficients'!$C$24)/'Model Coefficients'!$D$24</f>
        <v/>
      </c>
      <c r="Q115" s="7">
        <f>(I115-'Model Coefficients'!$C$25)/'Model Coefficients'!$D$25</f>
        <v/>
      </c>
      <c r="R115" s="7">
        <f>'Model Coefficients'!$C$6+'Model Coefficients'!$C$7*J115+'Model Coefficients'!$C$8*K115+'Model Coefficients'!$C$9*L115+'Model Coefficients'!$C$10*M115+'Model Coefficients'!$C$11*N115+'Model Coefficients'!$C$12*O115+'Model Coefficients'!$C$13*P115+'Model Coefficients'!$C$14*Q115</f>
        <v/>
      </c>
      <c r="S115" s="8">
        <f>1/(1+EXP(-R115))</f>
        <v/>
      </c>
      <c r="T115" s="6">
        <f>IF(S115&lt;0.15,"Low Risk",IF(S115&lt;0.35,"Medium Risk","High Risk"))</f>
        <v/>
      </c>
      <c r="U115" s="6" t="inlineStr">
        <is>
          <t>Repaid</t>
        </is>
      </c>
    </row>
    <row r="116">
      <c r="A116" s="6" t="inlineStr">
        <is>
          <t>MFI-0115</t>
        </is>
      </c>
      <c r="B116" s="6" t="n">
        <v>123.78</v>
      </c>
      <c r="C116" s="6" t="n">
        <v>18</v>
      </c>
      <c r="D116" s="6" t="n">
        <v>39</v>
      </c>
      <c r="E116" s="6" t="n">
        <v>31.19</v>
      </c>
      <c r="F116" s="6" t="n">
        <v>0</v>
      </c>
      <c r="G116" s="6" t="n">
        <v>4</v>
      </c>
      <c r="H116" s="6" t="n">
        <v>0</v>
      </c>
      <c r="I116" s="6" t="n">
        <v>1</v>
      </c>
      <c r="J116" s="7">
        <f>(B116-'Model Coefficients'!$C$18)/'Model Coefficients'!$D$18</f>
        <v/>
      </c>
      <c r="K116" s="7">
        <f>(C116-'Model Coefficients'!$C$19)/'Model Coefficients'!$D$19</f>
        <v/>
      </c>
      <c r="L116" s="7">
        <f>(D116-'Model Coefficients'!$C$20)/'Model Coefficients'!$D$20</f>
        <v/>
      </c>
      <c r="M116" s="7">
        <f>(E116-'Model Coefficients'!$C$21)/'Model Coefficients'!$D$21</f>
        <v/>
      </c>
      <c r="N116" s="7">
        <f>(F116-'Model Coefficients'!$C$22)/'Model Coefficients'!$D$22</f>
        <v/>
      </c>
      <c r="O116" s="7">
        <f>(G116-'Model Coefficients'!$C$23)/'Model Coefficients'!$D$23</f>
        <v/>
      </c>
      <c r="P116" s="7">
        <f>(H116-'Model Coefficients'!$C$24)/'Model Coefficients'!$D$24</f>
        <v/>
      </c>
      <c r="Q116" s="7">
        <f>(I116-'Model Coefficients'!$C$25)/'Model Coefficients'!$D$25</f>
        <v/>
      </c>
      <c r="R116" s="7">
        <f>'Model Coefficients'!$C$6+'Model Coefficients'!$C$7*J116+'Model Coefficients'!$C$8*K116+'Model Coefficients'!$C$9*L116+'Model Coefficients'!$C$10*M116+'Model Coefficients'!$C$11*N116+'Model Coefficients'!$C$12*O116+'Model Coefficients'!$C$13*P116+'Model Coefficients'!$C$14*Q116</f>
        <v/>
      </c>
      <c r="S116" s="8">
        <f>1/(1+EXP(-R116))</f>
        <v/>
      </c>
      <c r="T116" s="6">
        <f>IF(S116&lt;0.15,"Low Risk",IF(S116&lt;0.35,"Medium Risk","High Risk"))</f>
        <v/>
      </c>
      <c r="U116" s="6" t="inlineStr">
        <is>
          <t>Repaid</t>
        </is>
      </c>
    </row>
    <row r="117">
      <c r="A117" s="6" t="inlineStr">
        <is>
          <t>MFI-0116</t>
        </is>
      </c>
      <c r="B117" s="6" t="n">
        <v>112</v>
      </c>
      <c r="C117" s="6" t="n">
        <v>6</v>
      </c>
      <c r="D117" s="6" t="n">
        <v>29</v>
      </c>
      <c r="E117" s="6" t="n">
        <v>114.09</v>
      </c>
      <c r="F117" s="6" t="n">
        <v>0</v>
      </c>
      <c r="G117" s="6" t="n">
        <v>2</v>
      </c>
      <c r="H117" s="6" t="n">
        <v>1</v>
      </c>
      <c r="I117" s="6" t="n">
        <v>0</v>
      </c>
      <c r="J117" s="7">
        <f>(B117-'Model Coefficients'!$C$18)/'Model Coefficients'!$D$18</f>
        <v/>
      </c>
      <c r="K117" s="7">
        <f>(C117-'Model Coefficients'!$C$19)/'Model Coefficients'!$D$19</f>
        <v/>
      </c>
      <c r="L117" s="7">
        <f>(D117-'Model Coefficients'!$C$20)/'Model Coefficients'!$D$20</f>
        <v/>
      </c>
      <c r="M117" s="7">
        <f>(E117-'Model Coefficients'!$C$21)/'Model Coefficients'!$D$21</f>
        <v/>
      </c>
      <c r="N117" s="7">
        <f>(F117-'Model Coefficients'!$C$22)/'Model Coefficients'!$D$22</f>
        <v/>
      </c>
      <c r="O117" s="7">
        <f>(G117-'Model Coefficients'!$C$23)/'Model Coefficients'!$D$23</f>
        <v/>
      </c>
      <c r="P117" s="7">
        <f>(H117-'Model Coefficients'!$C$24)/'Model Coefficients'!$D$24</f>
        <v/>
      </c>
      <c r="Q117" s="7">
        <f>(I117-'Model Coefficients'!$C$25)/'Model Coefficients'!$D$25</f>
        <v/>
      </c>
      <c r="R117" s="7">
        <f>'Model Coefficients'!$C$6+'Model Coefficients'!$C$7*J117+'Model Coefficients'!$C$8*K117+'Model Coefficients'!$C$9*L117+'Model Coefficients'!$C$10*M117+'Model Coefficients'!$C$11*N117+'Model Coefficients'!$C$12*O117+'Model Coefficients'!$C$13*P117+'Model Coefficients'!$C$14*Q117</f>
        <v/>
      </c>
      <c r="S117" s="8">
        <f>1/(1+EXP(-R117))</f>
        <v/>
      </c>
      <c r="T117" s="6">
        <f>IF(S117&lt;0.15,"Low Risk",IF(S117&lt;0.35,"Medium Risk","High Risk"))</f>
        <v/>
      </c>
      <c r="U117" s="6" t="inlineStr">
        <is>
          <t>Repaid</t>
        </is>
      </c>
    </row>
    <row r="118">
      <c r="A118" s="6" t="inlineStr">
        <is>
          <t>MFI-0117</t>
        </is>
      </c>
      <c r="B118" s="6" t="n">
        <v>191.54</v>
      </c>
      <c r="C118" s="6" t="n">
        <v>6</v>
      </c>
      <c r="D118" s="6" t="n">
        <v>24</v>
      </c>
      <c r="E118" s="6" t="n">
        <v>110.94</v>
      </c>
      <c r="F118" s="6" t="n">
        <v>2</v>
      </c>
      <c r="G118" s="6" t="n">
        <v>4</v>
      </c>
      <c r="H118" s="6" t="n">
        <v>0</v>
      </c>
      <c r="I118" s="6" t="n">
        <v>0</v>
      </c>
      <c r="J118" s="7">
        <f>(B118-'Model Coefficients'!$C$18)/'Model Coefficients'!$D$18</f>
        <v/>
      </c>
      <c r="K118" s="7">
        <f>(C118-'Model Coefficients'!$C$19)/'Model Coefficients'!$D$19</f>
        <v/>
      </c>
      <c r="L118" s="7">
        <f>(D118-'Model Coefficients'!$C$20)/'Model Coefficients'!$D$20</f>
        <v/>
      </c>
      <c r="M118" s="7">
        <f>(E118-'Model Coefficients'!$C$21)/'Model Coefficients'!$D$21</f>
        <v/>
      </c>
      <c r="N118" s="7">
        <f>(F118-'Model Coefficients'!$C$22)/'Model Coefficients'!$D$22</f>
        <v/>
      </c>
      <c r="O118" s="7">
        <f>(G118-'Model Coefficients'!$C$23)/'Model Coefficients'!$D$23</f>
        <v/>
      </c>
      <c r="P118" s="7">
        <f>(H118-'Model Coefficients'!$C$24)/'Model Coefficients'!$D$24</f>
        <v/>
      </c>
      <c r="Q118" s="7">
        <f>(I118-'Model Coefficients'!$C$25)/'Model Coefficients'!$D$25</f>
        <v/>
      </c>
      <c r="R118" s="7">
        <f>'Model Coefficients'!$C$6+'Model Coefficients'!$C$7*J118+'Model Coefficients'!$C$8*K118+'Model Coefficients'!$C$9*L118+'Model Coefficients'!$C$10*M118+'Model Coefficients'!$C$11*N118+'Model Coefficients'!$C$12*O118+'Model Coefficients'!$C$13*P118+'Model Coefficients'!$C$14*Q118</f>
        <v/>
      </c>
      <c r="S118" s="8">
        <f>1/(1+EXP(-R118))</f>
        <v/>
      </c>
      <c r="T118" s="6">
        <f>IF(S118&lt;0.15,"Low Risk",IF(S118&lt;0.35,"Medium Risk","High Risk"))</f>
        <v/>
      </c>
      <c r="U118" s="6" t="inlineStr">
        <is>
          <t>Defaulted</t>
        </is>
      </c>
    </row>
    <row r="119">
      <c r="A119" s="6" t="inlineStr">
        <is>
          <t>MFI-0118</t>
        </is>
      </c>
      <c r="B119" s="6" t="n">
        <v>172.52</v>
      </c>
      <c r="C119" s="6" t="n">
        <v>24</v>
      </c>
      <c r="D119" s="6" t="n">
        <v>57</v>
      </c>
      <c r="E119" s="6" t="n">
        <v>118.36</v>
      </c>
      <c r="F119" s="6" t="n">
        <v>3</v>
      </c>
      <c r="G119" s="6" t="n">
        <v>4</v>
      </c>
      <c r="H119" s="6" t="n">
        <v>0</v>
      </c>
      <c r="I119" s="6" t="n">
        <v>0</v>
      </c>
      <c r="J119" s="7">
        <f>(B119-'Model Coefficients'!$C$18)/'Model Coefficients'!$D$18</f>
        <v/>
      </c>
      <c r="K119" s="7">
        <f>(C119-'Model Coefficients'!$C$19)/'Model Coefficients'!$D$19</f>
        <v/>
      </c>
      <c r="L119" s="7">
        <f>(D119-'Model Coefficients'!$C$20)/'Model Coefficients'!$D$20</f>
        <v/>
      </c>
      <c r="M119" s="7">
        <f>(E119-'Model Coefficients'!$C$21)/'Model Coefficients'!$D$21</f>
        <v/>
      </c>
      <c r="N119" s="7">
        <f>(F119-'Model Coefficients'!$C$22)/'Model Coefficients'!$D$22</f>
        <v/>
      </c>
      <c r="O119" s="7">
        <f>(G119-'Model Coefficients'!$C$23)/'Model Coefficients'!$D$23</f>
        <v/>
      </c>
      <c r="P119" s="7">
        <f>(H119-'Model Coefficients'!$C$24)/'Model Coefficients'!$D$24</f>
        <v/>
      </c>
      <c r="Q119" s="7">
        <f>(I119-'Model Coefficients'!$C$25)/'Model Coefficients'!$D$25</f>
        <v/>
      </c>
      <c r="R119" s="7">
        <f>'Model Coefficients'!$C$6+'Model Coefficients'!$C$7*J119+'Model Coefficients'!$C$8*K119+'Model Coefficients'!$C$9*L119+'Model Coefficients'!$C$10*M119+'Model Coefficients'!$C$11*N119+'Model Coefficients'!$C$12*O119+'Model Coefficients'!$C$13*P119+'Model Coefficients'!$C$14*Q119</f>
        <v/>
      </c>
      <c r="S119" s="8">
        <f>1/(1+EXP(-R119))</f>
        <v/>
      </c>
      <c r="T119" s="6">
        <f>IF(S119&lt;0.15,"Low Risk",IF(S119&lt;0.35,"Medium Risk","High Risk"))</f>
        <v/>
      </c>
      <c r="U119" s="6" t="inlineStr">
        <is>
          <t>Repaid</t>
        </is>
      </c>
    </row>
    <row r="120">
      <c r="A120" s="6" t="inlineStr">
        <is>
          <t>MFI-0119</t>
        </is>
      </c>
      <c r="B120" s="6" t="n">
        <v>229.9</v>
      </c>
      <c r="C120" s="6" t="n">
        <v>12</v>
      </c>
      <c r="D120" s="6" t="n">
        <v>51</v>
      </c>
      <c r="E120" s="6" t="n">
        <v>107.23</v>
      </c>
      <c r="F120" s="6" t="n">
        <v>2</v>
      </c>
      <c r="G120" s="6" t="n">
        <v>5</v>
      </c>
      <c r="H120" s="6" t="n">
        <v>0</v>
      </c>
      <c r="I120" s="6" t="n">
        <v>0</v>
      </c>
      <c r="J120" s="7">
        <f>(B120-'Model Coefficients'!$C$18)/'Model Coefficients'!$D$18</f>
        <v/>
      </c>
      <c r="K120" s="7">
        <f>(C120-'Model Coefficients'!$C$19)/'Model Coefficients'!$D$19</f>
        <v/>
      </c>
      <c r="L120" s="7">
        <f>(D120-'Model Coefficients'!$C$20)/'Model Coefficients'!$D$20</f>
        <v/>
      </c>
      <c r="M120" s="7">
        <f>(E120-'Model Coefficients'!$C$21)/'Model Coefficients'!$D$21</f>
        <v/>
      </c>
      <c r="N120" s="7">
        <f>(F120-'Model Coefficients'!$C$22)/'Model Coefficients'!$D$22</f>
        <v/>
      </c>
      <c r="O120" s="7">
        <f>(G120-'Model Coefficients'!$C$23)/'Model Coefficients'!$D$23</f>
        <v/>
      </c>
      <c r="P120" s="7">
        <f>(H120-'Model Coefficients'!$C$24)/'Model Coefficients'!$D$24</f>
        <v/>
      </c>
      <c r="Q120" s="7">
        <f>(I120-'Model Coefficients'!$C$25)/'Model Coefficients'!$D$25</f>
        <v/>
      </c>
      <c r="R120" s="7">
        <f>'Model Coefficients'!$C$6+'Model Coefficients'!$C$7*J120+'Model Coefficients'!$C$8*K120+'Model Coefficients'!$C$9*L120+'Model Coefficients'!$C$10*M120+'Model Coefficients'!$C$11*N120+'Model Coefficients'!$C$12*O120+'Model Coefficients'!$C$13*P120+'Model Coefficients'!$C$14*Q120</f>
        <v/>
      </c>
      <c r="S120" s="8">
        <f>1/(1+EXP(-R120))</f>
        <v/>
      </c>
      <c r="T120" s="6">
        <f>IF(S120&lt;0.15,"Low Risk",IF(S120&lt;0.35,"Medium Risk","High Risk"))</f>
        <v/>
      </c>
      <c r="U120" s="6" t="inlineStr">
        <is>
          <t>Repaid</t>
        </is>
      </c>
    </row>
    <row r="121">
      <c r="A121" s="6" t="inlineStr">
        <is>
          <t>MFI-0120</t>
        </is>
      </c>
      <c r="B121" s="6" t="n">
        <v>102.59</v>
      </c>
      <c r="C121" s="6" t="n">
        <v>18</v>
      </c>
      <c r="D121" s="6" t="n">
        <v>49</v>
      </c>
      <c r="E121" s="6" t="n">
        <v>55.52</v>
      </c>
      <c r="F121" s="6" t="n">
        <v>5</v>
      </c>
      <c r="G121" s="6" t="n">
        <v>3</v>
      </c>
      <c r="H121" s="6" t="n">
        <v>0</v>
      </c>
      <c r="I121" s="6" t="n">
        <v>1</v>
      </c>
      <c r="J121" s="7">
        <f>(B121-'Model Coefficients'!$C$18)/'Model Coefficients'!$D$18</f>
        <v/>
      </c>
      <c r="K121" s="7">
        <f>(C121-'Model Coefficients'!$C$19)/'Model Coefficients'!$D$19</f>
        <v/>
      </c>
      <c r="L121" s="7">
        <f>(D121-'Model Coefficients'!$C$20)/'Model Coefficients'!$D$20</f>
        <v/>
      </c>
      <c r="M121" s="7">
        <f>(E121-'Model Coefficients'!$C$21)/'Model Coefficients'!$D$21</f>
        <v/>
      </c>
      <c r="N121" s="7">
        <f>(F121-'Model Coefficients'!$C$22)/'Model Coefficients'!$D$22</f>
        <v/>
      </c>
      <c r="O121" s="7">
        <f>(G121-'Model Coefficients'!$C$23)/'Model Coefficients'!$D$23</f>
        <v/>
      </c>
      <c r="P121" s="7">
        <f>(H121-'Model Coefficients'!$C$24)/'Model Coefficients'!$D$24</f>
        <v/>
      </c>
      <c r="Q121" s="7">
        <f>(I121-'Model Coefficients'!$C$25)/'Model Coefficients'!$D$25</f>
        <v/>
      </c>
      <c r="R121" s="7">
        <f>'Model Coefficients'!$C$6+'Model Coefficients'!$C$7*J121+'Model Coefficients'!$C$8*K121+'Model Coefficients'!$C$9*L121+'Model Coefficients'!$C$10*M121+'Model Coefficients'!$C$11*N121+'Model Coefficients'!$C$12*O121+'Model Coefficients'!$C$13*P121+'Model Coefficients'!$C$14*Q121</f>
        <v/>
      </c>
      <c r="S121" s="8">
        <f>1/(1+EXP(-R121))</f>
        <v/>
      </c>
      <c r="T121" s="6">
        <f>IF(S121&lt;0.15,"Low Risk",IF(S121&lt;0.35,"Medium Risk","High Risk"))</f>
        <v/>
      </c>
      <c r="U121" s="6" t="inlineStr">
        <is>
          <t>Repaid</t>
        </is>
      </c>
    </row>
    <row r="122">
      <c r="A122" s="6" t="inlineStr">
        <is>
          <t>MFI-0121</t>
        </is>
      </c>
      <c r="B122" s="6" t="n">
        <v>288.96</v>
      </c>
      <c r="C122" s="6" t="n">
        <v>6</v>
      </c>
      <c r="D122" s="6" t="n">
        <v>22</v>
      </c>
      <c r="E122" s="6" t="n">
        <v>63.91</v>
      </c>
      <c r="F122" s="6" t="n">
        <v>5</v>
      </c>
      <c r="G122" s="6" t="n">
        <v>4</v>
      </c>
      <c r="H122" s="6" t="n">
        <v>0</v>
      </c>
      <c r="I122" s="6" t="n">
        <v>0</v>
      </c>
      <c r="J122" s="7">
        <f>(B122-'Model Coefficients'!$C$18)/'Model Coefficients'!$D$18</f>
        <v/>
      </c>
      <c r="K122" s="7">
        <f>(C122-'Model Coefficients'!$C$19)/'Model Coefficients'!$D$19</f>
        <v/>
      </c>
      <c r="L122" s="7">
        <f>(D122-'Model Coefficients'!$C$20)/'Model Coefficients'!$D$20</f>
        <v/>
      </c>
      <c r="M122" s="7">
        <f>(E122-'Model Coefficients'!$C$21)/'Model Coefficients'!$D$21</f>
        <v/>
      </c>
      <c r="N122" s="7">
        <f>(F122-'Model Coefficients'!$C$22)/'Model Coefficients'!$D$22</f>
        <v/>
      </c>
      <c r="O122" s="7">
        <f>(G122-'Model Coefficients'!$C$23)/'Model Coefficients'!$D$23</f>
        <v/>
      </c>
      <c r="P122" s="7">
        <f>(H122-'Model Coefficients'!$C$24)/'Model Coefficients'!$D$24</f>
        <v/>
      </c>
      <c r="Q122" s="7">
        <f>(I122-'Model Coefficients'!$C$25)/'Model Coefficients'!$D$25</f>
        <v/>
      </c>
      <c r="R122" s="7">
        <f>'Model Coefficients'!$C$6+'Model Coefficients'!$C$7*J122+'Model Coefficients'!$C$8*K122+'Model Coefficients'!$C$9*L122+'Model Coefficients'!$C$10*M122+'Model Coefficients'!$C$11*N122+'Model Coefficients'!$C$12*O122+'Model Coefficients'!$C$13*P122+'Model Coefficients'!$C$14*Q122</f>
        <v/>
      </c>
      <c r="S122" s="8">
        <f>1/(1+EXP(-R122))</f>
        <v/>
      </c>
      <c r="T122" s="6">
        <f>IF(S122&lt;0.15,"Low Risk",IF(S122&lt;0.35,"Medium Risk","High Risk"))</f>
        <v/>
      </c>
      <c r="U122" s="6" t="inlineStr">
        <is>
          <t>Defaulted</t>
        </is>
      </c>
    </row>
    <row r="123">
      <c r="A123" s="6" t="inlineStr">
        <is>
          <t>MFI-0122</t>
        </is>
      </c>
      <c r="B123" s="6" t="n">
        <v>172.18</v>
      </c>
      <c r="C123" s="6" t="n">
        <v>24</v>
      </c>
      <c r="D123" s="6" t="n">
        <v>36</v>
      </c>
      <c r="E123" s="6" t="n">
        <v>47.96</v>
      </c>
      <c r="F123" s="6" t="n">
        <v>0</v>
      </c>
      <c r="G123" s="6" t="n">
        <v>4</v>
      </c>
      <c r="H123" s="6" t="n">
        <v>1</v>
      </c>
      <c r="I123" s="6" t="n">
        <v>1</v>
      </c>
      <c r="J123" s="7">
        <f>(B123-'Model Coefficients'!$C$18)/'Model Coefficients'!$D$18</f>
        <v/>
      </c>
      <c r="K123" s="7">
        <f>(C123-'Model Coefficients'!$C$19)/'Model Coefficients'!$D$19</f>
        <v/>
      </c>
      <c r="L123" s="7">
        <f>(D123-'Model Coefficients'!$C$20)/'Model Coefficients'!$D$20</f>
        <v/>
      </c>
      <c r="M123" s="7">
        <f>(E123-'Model Coefficients'!$C$21)/'Model Coefficients'!$D$21</f>
        <v/>
      </c>
      <c r="N123" s="7">
        <f>(F123-'Model Coefficients'!$C$22)/'Model Coefficients'!$D$22</f>
        <v/>
      </c>
      <c r="O123" s="7">
        <f>(G123-'Model Coefficients'!$C$23)/'Model Coefficients'!$D$23</f>
        <v/>
      </c>
      <c r="P123" s="7">
        <f>(H123-'Model Coefficients'!$C$24)/'Model Coefficients'!$D$24</f>
        <v/>
      </c>
      <c r="Q123" s="7">
        <f>(I123-'Model Coefficients'!$C$25)/'Model Coefficients'!$D$25</f>
        <v/>
      </c>
      <c r="R123" s="7">
        <f>'Model Coefficients'!$C$6+'Model Coefficients'!$C$7*J123+'Model Coefficients'!$C$8*K123+'Model Coefficients'!$C$9*L123+'Model Coefficients'!$C$10*M123+'Model Coefficients'!$C$11*N123+'Model Coefficients'!$C$12*O123+'Model Coefficients'!$C$13*P123+'Model Coefficients'!$C$14*Q123</f>
        <v/>
      </c>
      <c r="S123" s="8">
        <f>1/(1+EXP(-R123))</f>
        <v/>
      </c>
      <c r="T123" s="6">
        <f>IF(S123&lt;0.15,"Low Risk",IF(S123&lt;0.35,"Medium Risk","High Risk"))</f>
        <v/>
      </c>
      <c r="U123" s="6" t="inlineStr">
        <is>
          <t>Repaid</t>
        </is>
      </c>
    </row>
    <row r="124">
      <c r="A124" s="6" t="inlineStr">
        <is>
          <t>MFI-0123</t>
        </is>
      </c>
      <c r="B124" s="6" t="n">
        <v>210.24</v>
      </c>
      <c r="C124" s="6" t="n">
        <v>12</v>
      </c>
      <c r="D124" s="6" t="n">
        <v>20</v>
      </c>
      <c r="E124" s="6" t="n">
        <v>66.68000000000001</v>
      </c>
      <c r="F124" s="6" t="n">
        <v>3</v>
      </c>
      <c r="G124" s="6" t="n">
        <v>4</v>
      </c>
      <c r="H124" s="6" t="n">
        <v>0</v>
      </c>
      <c r="I124" s="6" t="n">
        <v>1</v>
      </c>
      <c r="J124" s="7">
        <f>(B124-'Model Coefficients'!$C$18)/'Model Coefficients'!$D$18</f>
        <v/>
      </c>
      <c r="K124" s="7">
        <f>(C124-'Model Coefficients'!$C$19)/'Model Coefficients'!$D$19</f>
        <v/>
      </c>
      <c r="L124" s="7">
        <f>(D124-'Model Coefficients'!$C$20)/'Model Coefficients'!$D$20</f>
        <v/>
      </c>
      <c r="M124" s="7">
        <f>(E124-'Model Coefficients'!$C$21)/'Model Coefficients'!$D$21</f>
        <v/>
      </c>
      <c r="N124" s="7">
        <f>(F124-'Model Coefficients'!$C$22)/'Model Coefficients'!$D$22</f>
        <v/>
      </c>
      <c r="O124" s="7">
        <f>(G124-'Model Coefficients'!$C$23)/'Model Coefficients'!$D$23</f>
        <v/>
      </c>
      <c r="P124" s="7">
        <f>(H124-'Model Coefficients'!$C$24)/'Model Coefficients'!$D$24</f>
        <v/>
      </c>
      <c r="Q124" s="7">
        <f>(I124-'Model Coefficients'!$C$25)/'Model Coefficients'!$D$25</f>
        <v/>
      </c>
      <c r="R124" s="7">
        <f>'Model Coefficients'!$C$6+'Model Coefficients'!$C$7*J124+'Model Coefficients'!$C$8*K124+'Model Coefficients'!$C$9*L124+'Model Coefficients'!$C$10*M124+'Model Coefficients'!$C$11*N124+'Model Coefficients'!$C$12*O124+'Model Coefficients'!$C$13*P124+'Model Coefficients'!$C$14*Q124</f>
        <v/>
      </c>
      <c r="S124" s="8">
        <f>1/(1+EXP(-R124))</f>
        <v/>
      </c>
      <c r="T124" s="6">
        <f>IF(S124&lt;0.15,"Low Risk",IF(S124&lt;0.35,"Medium Risk","High Risk"))</f>
        <v/>
      </c>
      <c r="U124" s="6" t="inlineStr">
        <is>
          <t>Repaid</t>
        </is>
      </c>
    </row>
    <row r="125">
      <c r="A125" s="6" t="inlineStr">
        <is>
          <t>MFI-0124</t>
        </is>
      </c>
      <c r="B125" s="6" t="n">
        <v>212.71</v>
      </c>
      <c r="C125" s="6" t="n">
        <v>6</v>
      </c>
      <c r="D125" s="6" t="n">
        <v>33</v>
      </c>
      <c r="E125" s="6" t="n">
        <v>39.98</v>
      </c>
      <c r="F125" s="6" t="n">
        <v>3</v>
      </c>
      <c r="G125" s="6" t="n">
        <v>2</v>
      </c>
      <c r="H125" s="6" t="n">
        <v>1</v>
      </c>
      <c r="I125" s="6" t="n">
        <v>1</v>
      </c>
      <c r="J125" s="7">
        <f>(B125-'Model Coefficients'!$C$18)/'Model Coefficients'!$D$18</f>
        <v/>
      </c>
      <c r="K125" s="7">
        <f>(C125-'Model Coefficients'!$C$19)/'Model Coefficients'!$D$19</f>
        <v/>
      </c>
      <c r="L125" s="7">
        <f>(D125-'Model Coefficients'!$C$20)/'Model Coefficients'!$D$20</f>
        <v/>
      </c>
      <c r="M125" s="7">
        <f>(E125-'Model Coefficients'!$C$21)/'Model Coefficients'!$D$21</f>
        <v/>
      </c>
      <c r="N125" s="7">
        <f>(F125-'Model Coefficients'!$C$22)/'Model Coefficients'!$D$22</f>
        <v/>
      </c>
      <c r="O125" s="7">
        <f>(G125-'Model Coefficients'!$C$23)/'Model Coefficients'!$D$23</f>
        <v/>
      </c>
      <c r="P125" s="7">
        <f>(H125-'Model Coefficients'!$C$24)/'Model Coefficients'!$D$24</f>
        <v/>
      </c>
      <c r="Q125" s="7">
        <f>(I125-'Model Coefficients'!$C$25)/'Model Coefficients'!$D$25</f>
        <v/>
      </c>
      <c r="R125" s="7">
        <f>'Model Coefficients'!$C$6+'Model Coefficients'!$C$7*J125+'Model Coefficients'!$C$8*K125+'Model Coefficients'!$C$9*L125+'Model Coefficients'!$C$10*M125+'Model Coefficients'!$C$11*N125+'Model Coefficients'!$C$12*O125+'Model Coefficients'!$C$13*P125+'Model Coefficients'!$C$14*Q125</f>
        <v/>
      </c>
      <c r="S125" s="8">
        <f>1/(1+EXP(-R125))</f>
        <v/>
      </c>
      <c r="T125" s="6">
        <f>IF(S125&lt;0.15,"Low Risk",IF(S125&lt;0.35,"Medium Risk","High Risk"))</f>
        <v/>
      </c>
      <c r="U125" s="6" t="inlineStr">
        <is>
          <t>Defaulted</t>
        </is>
      </c>
    </row>
    <row r="126">
      <c r="A126" s="6" t="inlineStr">
        <is>
          <t>MFI-0125</t>
        </is>
      </c>
      <c r="B126" s="6" t="n">
        <v>62.64</v>
      </c>
      <c r="C126" s="6" t="n">
        <v>12</v>
      </c>
      <c r="D126" s="6" t="n">
        <v>23</v>
      </c>
      <c r="E126" s="6" t="n">
        <v>115.81</v>
      </c>
      <c r="F126" s="6" t="n">
        <v>5</v>
      </c>
      <c r="G126" s="6" t="n">
        <v>1</v>
      </c>
      <c r="H126" s="6" t="n">
        <v>1</v>
      </c>
      <c r="I126" s="6" t="n">
        <v>0</v>
      </c>
      <c r="J126" s="7">
        <f>(B126-'Model Coefficients'!$C$18)/'Model Coefficients'!$D$18</f>
        <v/>
      </c>
      <c r="K126" s="7">
        <f>(C126-'Model Coefficients'!$C$19)/'Model Coefficients'!$D$19</f>
        <v/>
      </c>
      <c r="L126" s="7">
        <f>(D126-'Model Coefficients'!$C$20)/'Model Coefficients'!$D$20</f>
        <v/>
      </c>
      <c r="M126" s="7">
        <f>(E126-'Model Coefficients'!$C$21)/'Model Coefficients'!$D$21</f>
        <v/>
      </c>
      <c r="N126" s="7">
        <f>(F126-'Model Coefficients'!$C$22)/'Model Coefficients'!$D$22</f>
        <v/>
      </c>
      <c r="O126" s="7">
        <f>(G126-'Model Coefficients'!$C$23)/'Model Coefficients'!$D$23</f>
        <v/>
      </c>
      <c r="P126" s="7">
        <f>(H126-'Model Coefficients'!$C$24)/'Model Coefficients'!$D$24</f>
        <v/>
      </c>
      <c r="Q126" s="7">
        <f>(I126-'Model Coefficients'!$C$25)/'Model Coefficients'!$D$25</f>
        <v/>
      </c>
      <c r="R126" s="7">
        <f>'Model Coefficients'!$C$6+'Model Coefficients'!$C$7*J126+'Model Coefficients'!$C$8*K126+'Model Coefficients'!$C$9*L126+'Model Coefficients'!$C$10*M126+'Model Coefficients'!$C$11*N126+'Model Coefficients'!$C$12*O126+'Model Coefficients'!$C$13*P126+'Model Coefficients'!$C$14*Q126</f>
        <v/>
      </c>
      <c r="S126" s="8">
        <f>1/(1+EXP(-R126))</f>
        <v/>
      </c>
      <c r="T126" s="6">
        <f>IF(S126&lt;0.15,"Low Risk",IF(S126&lt;0.35,"Medium Risk","High Risk"))</f>
        <v/>
      </c>
      <c r="U126" s="6" t="inlineStr">
        <is>
          <t>Repaid</t>
        </is>
      </c>
    </row>
    <row r="127">
      <c r="A127" s="6" t="inlineStr">
        <is>
          <t>MFI-0126</t>
        </is>
      </c>
      <c r="B127" s="6" t="n">
        <v>60.61</v>
      </c>
      <c r="C127" s="6" t="n">
        <v>6</v>
      </c>
      <c r="D127" s="6" t="n">
        <v>22</v>
      </c>
      <c r="E127" s="6" t="n">
        <v>58.87</v>
      </c>
      <c r="F127" s="6" t="n">
        <v>2</v>
      </c>
      <c r="G127" s="6" t="n">
        <v>3</v>
      </c>
      <c r="H127" s="6" t="n">
        <v>1</v>
      </c>
      <c r="I127" s="6" t="n">
        <v>1</v>
      </c>
      <c r="J127" s="7">
        <f>(B127-'Model Coefficients'!$C$18)/'Model Coefficients'!$D$18</f>
        <v/>
      </c>
      <c r="K127" s="7">
        <f>(C127-'Model Coefficients'!$C$19)/'Model Coefficients'!$D$19</f>
        <v/>
      </c>
      <c r="L127" s="7">
        <f>(D127-'Model Coefficients'!$C$20)/'Model Coefficients'!$D$20</f>
        <v/>
      </c>
      <c r="M127" s="7">
        <f>(E127-'Model Coefficients'!$C$21)/'Model Coefficients'!$D$21</f>
        <v/>
      </c>
      <c r="N127" s="7">
        <f>(F127-'Model Coefficients'!$C$22)/'Model Coefficients'!$D$22</f>
        <v/>
      </c>
      <c r="O127" s="7">
        <f>(G127-'Model Coefficients'!$C$23)/'Model Coefficients'!$D$23</f>
        <v/>
      </c>
      <c r="P127" s="7">
        <f>(H127-'Model Coefficients'!$C$24)/'Model Coefficients'!$D$24</f>
        <v/>
      </c>
      <c r="Q127" s="7">
        <f>(I127-'Model Coefficients'!$C$25)/'Model Coefficients'!$D$25</f>
        <v/>
      </c>
      <c r="R127" s="7">
        <f>'Model Coefficients'!$C$6+'Model Coefficients'!$C$7*J127+'Model Coefficients'!$C$8*K127+'Model Coefficients'!$C$9*L127+'Model Coefficients'!$C$10*M127+'Model Coefficients'!$C$11*N127+'Model Coefficients'!$C$12*O127+'Model Coefficients'!$C$13*P127+'Model Coefficients'!$C$14*Q127</f>
        <v/>
      </c>
      <c r="S127" s="8">
        <f>1/(1+EXP(-R127))</f>
        <v/>
      </c>
      <c r="T127" s="6">
        <f>IF(S127&lt;0.15,"Low Risk",IF(S127&lt;0.35,"Medium Risk","High Risk"))</f>
        <v/>
      </c>
      <c r="U127" s="6" t="inlineStr">
        <is>
          <t>Repaid</t>
        </is>
      </c>
    </row>
    <row r="128">
      <c r="A128" s="6" t="inlineStr">
        <is>
          <t>MFI-0127</t>
        </is>
      </c>
      <c r="B128" s="6" t="n">
        <v>149.37</v>
      </c>
      <c r="C128" s="6" t="n">
        <v>6</v>
      </c>
      <c r="D128" s="6" t="n">
        <v>38</v>
      </c>
      <c r="E128" s="6" t="n">
        <v>50.28</v>
      </c>
      <c r="F128" s="6" t="n">
        <v>0</v>
      </c>
      <c r="G128" s="6" t="n">
        <v>2</v>
      </c>
      <c r="H128" s="6" t="n">
        <v>0</v>
      </c>
      <c r="I128" s="6" t="n">
        <v>1</v>
      </c>
      <c r="J128" s="7">
        <f>(B128-'Model Coefficients'!$C$18)/'Model Coefficients'!$D$18</f>
        <v/>
      </c>
      <c r="K128" s="7">
        <f>(C128-'Model Coefficients'!$C$19)/'Model Coefficients'!$D$19</f>
        <v/>
      </c>
      <c r="L128" s="7">
        <f>(D128-'Model Coefficients'!$C$20)/'Model Coefficients'!$D$20</f>
        <v/>
      </c>
      <c r="M128" s="7">
        <f>(E128-'Model Coefficients'!$C$21)/'Model Coefficients'!$D$21</f>
        <v/>
      </c>
      <c r="N128" s="7">
        <f>(F128-'Model Coefficients'!$C$22)/'Model Coefficients'!$D$22</f>
        <v/>
      </c>
      <c r="O128" s="7">
        <f>(G128-'Model Coefficients'!$C$23)/'Model Coefficients'!$D$23</f>
        <v/>
      </c>
      <c r="P128" s="7">
        <f>(H128-'Model Coefficients'!$C$24)/'Model Coefficients'!$D$24</f>
        <v/>
      </c>
      <c r="Q128" s="7">
        <f>(I128-'Model Coefficients'!$C$25)/'Model Coefficients'!$D$25</f>
        <v/>
      </c>
      <c r="R128" s="7">
        <f>'Model Coefficients'!$C$6+'Model Coefficients'!$C$7*J128+'Model Coefficients'!$C$8*K128+'Model Coefficients'!$C$9*L128+'Model Coefficients'!$C$10*M128+'Model Coefficients'!$C$11*N128+'Model Coefficients'!$C$12*O128+'Model Coefficients'!$C$13*P128+'Model Coefficients'!$C$14*Q128</f>
        <v/>
      </c>
      <c r="S128" s="8">
        <f>1/(1+EXP(-R128))</f>
        <v/>
      </c>
      <c r="T128" s="6">
        <f>IF(S128&lt;0.15,"Low Risk",IF(S128&lt;0.35,"Medium Risk","High Risk"))</f>
        <v/>
      </c>
      <c r="U128" s="6" t="inlineStr">
        <is>
          <t>Repaid</t>
        </is>
      </c>
    </row>
    <row r="129">
      <c r="A129" s="6" t="inlineStr">
        <is>
          <t>MFI-0128</t>
        </is>
      </c>
      <c r="B129" s="6" t="n">
        <v>166.14</v>
      </c>
      <c r="C129" s="6" t="n">
        <v>12</v>
      </c>
      <c r="D129" s="6" t="n">
        <v>31</v>
      </c>
      <c r="E129" s="6" t="n">
        <v>113.2</v>
      </c>
      <c r="F129" s="6" t="n">
        <v>0</v>
      </c>
      <c r="G129" s="6" t="n">
        <v>1</v>
      </c>
      <c r="H129" s="6" t="n">
        <v>1</v>
      </c>
      <c r="I129" s="6" t="n">
        <v>1</v>
      </c>
      <c r="J129" s="7">
        <f>(B129-'Model Coefficients'!$C$18)/'Model Coefficients'!$D$18</f>
        <v/>
      </c>
      <c r="K129" s="7">
        <f>(C129-'Model Coefficients'!$C$19)/'Model Coefficients'!$D$19</f>
        <v/>
      </c>
      <c r="L129" s="7">
        <f>(D129-'Model Coefficients'!$C$20)/'Model Coefficients'!$D$20</f>
        <v/>
      </c>
      <c r="M129" s="7">
        <f>(E129-'Model Coefficients'!$C$21)/'Model Coefficients'!$D$21</f>
        <v/>
      </c>
      <c r="N129" s="7">
        <f>(F129-'Model Coefficients'!$C$22)/'Model Coefficients'!$D$22</f>
        <v/>
      </c>
      <c r="O129" s="7">
        <f>(G129-'Model Coefficients'!$C$23)/'Model Coefficients'!$D$23</f>
        <v/>
      </c>
      <c r="P129" s="7">
        <f>(H129-'Model Coefficients'!$C$24)/'Model Coefficients'!$D$24</f>
        <v/>
      </c>
      <c r="Q129" s="7">
        <f>(I129-'Model Coefficients'!$C$25)/'Model Coefficients'!$D$25</f>
        <v/>
      </c>
      <c r="R129" s="7">
        <f>'Model Coefficients'!$C$6+'Model Coefficients'!$C$7*J129+'Model Coefficients'!$C$8*K129+'Model Coefficients'!$C$9*L129+'Model Coefficients'!$C$10*M129+'Model Coefficients'!$C$11*N129+'Model Coefficients'!$C$12*O129+'Model Coefficients'!$C$13*P129+'Model Coefficients'!$C$14*Q129</f>
        <v/>
      </c>
      <c r="S129" s="8">
        <f>1/(1+EXP(-R129))</f>
        <v/>
      </c>
      <c r="T129" s="6">
        <f>IF(S129&lt;0.15,"Low Risk",IF(S129&lt;0.35,"Medium Risk","High Risk"))</f>
        <v/>
      </c>
      <c r="U129" s="6" t="inlineStr">
        <is>
          <t>Repaid</t>
        </is>
      </c>
    </row>
    <row r="130">
      <c r="A130" s="6" t="inlineStr">
        <is>
          <t>MFI-0129</t>
        </is>
      </c>
      <c r="B130" s="6" t="n">
        <v>96.17</v>
      </c>
      <c r="C130" s="6" t="n">
        <v>18</v>
      </c>
      <c r="D130" s="6" t="n">
        <v>59</v>
      </c>
      <c r="E130" s="6" t="n">
        <v>51.49</v>
      </c>
      <c r="F130" s="6" t="n">
        <v>0</v>
      </c>
      <c r="G130" s="6" t="n">
        <v>1</v>
      </c>
      <c r="H130" s="6" t="n">
        <v>0</v>
      </c>
      <c r="I130" s="6" t="n">
        <v>1</v>
      </c>
      <c r="J130" s="7">
        <f>(B130-'Model Coefficients'!$C$18)/'Model Coefficients'!$D$18</f>
        <v/>
      </c>
      <c r="K130" s="7">
        <f>(C130-'Model Coefficients'!$C$19)/'Model Coefficients'!$D$19</f>
        <v/>
      </c>
      <c r="L130" s="7">
        <f>(D130-'Model Coefficients'!$C$20)/'Model Coefficients'!$D$20</f>
        <v/>
      </c>
      <c r="M130" s="7">
        <f>(E130-'Model Coefficients'!$C$21)/'Model Coefficients'!$D$21</f>
        <v/>
      </c>
      <c r="N130" s="7">
        <f>(F130-'Model Coefficients'!$C$22)/'Model Coefficients'!$D$22</f>
        <v/>
      </c>
      <c r="O130" s="7">
        <f>(G130-'Model Coefficients'!$C$23)/'Model Coefficients'!$D$23</f>
        <v/>
      </c>
      <c r="P130" s="7">
        <f>(H130-'Model Coefficients'!$C$24)/'Model Coefficients'!$D$24</f>
        <v/>
      </c>
      <c r="Q130" s="7">
        <f>(I130-'Model Coefficients'!$C$25)/'Model Coefficients'!$D$25</f>
        <v/>
      </c>
      <c r="R130" s="7">
        <f>'Model Coefficients'!$C$6+'Model Coefficients'!$C$7*J130+'Model Coefficients'!$C$8*K130+'Model Coefficients'!$C$9*L130+'Model Coefficients'!$C$10*M130+'Model Coefficients'!$C$11*N130+'Model Coefficients'!$C$12*O130+'Model Coefficients'!$C$13*P130+'Model Coefficients'!$C$14*Q130</f>
        <v/>
      </c>
      <c r="S130" s="8">
        <f>1/(1+EXP(-R130))</f>
        <v/>
      </c>
      <c r="T130" s="6">
        <f>IF(S130&lt;0.15,"Low Risk",IF(S130&lt;0.35,"Medium Risk","High Risk"))</f>
        <v/>
      </c>
      <c r="U130" s="6" t="inlineStr">
        <is>
          <t>Repaid</t>
        </is>
      </c>
    </row>
    <row r="131">
      <c r="A131" s="6" t="inlineStr">
        <is>
          <t>MFI-0130</t>
        </is>
      </c>
      <c r="B131" s="6" t="n">
        <v>70.43000000000001</v>
      </c>
      <c r="C131" s="6" t="n">
        <v>6</v>
      </c>
      <c r="D131" s="6" t="n">
        <v>48</v>
      </c>
      <c r="E131" s="6" t="n">
        <v>59.26</v>
      </c>
      <c r="F131" s="6" t="n">
        <v>4</v>
      </c>
      <c r="G131" s="6" t="n">
        <v>4</v>
      </c>
      <c r="H131" s="6" t="n">
        <v>0</v>
      </c>
      <c r="I131" s="6" t="n">
        <v>0</v>
      </c>
      <c r="J131" s="7">
        <f>(B131-'Model Coefficients'!$C$18)/'Model Coefficients'!$D$18</f>
        <v/>
      </c>
      <c r="K131" s="7">
        <f>(C131-'Model Coefficients'!$C$19)/'Model Coefficients'!$D$19</f>
        <v/>
      </c>
      <c r="L131" s="7">
        <f>(D131-'Model Coefficients'!$C$20)/'Model Coefficients'!$D$20</f>
        <v/>
      </c>
      <c r="M131" s="7">
        <f>(E131-'Model Coefficients'!$C$21)/'Model Coefficients'!$D$21</f>
        <v/>
      </c>
      <c r="N131" s="7">
        <f>(F131-'Model Coefficients'!$C$22)/'Model Coefficients'!$D$22</f>
        <v/>
      </c>
      <c r="O131" s="7">
        <f>(G131-'Model Coefficients'!$C$23)/'Model Coefficients'!$D$23</f>
        <v/>
      </c>
      <c r="P131" s="7">
        <f>(H131-'Model Coefficients'!$C$24)/'Model Coefficients'!$D$24</f>
        <v/>
      </c>
      <c r="Q131" s="7">
        <f>(I131-'Model Coefficients'!$C$25)/'Model Coefficients'!$D$25</f>
        <v/>
      </c>
      <c r="R131" s="7">
        <f>'Model Coefficients'!$C$6+'Model Coefficients'!$C$7*J131+'Model Coefficients'!$C$8*K131+'Model Coefficients'!$C$9*L131+'Model Coefficients'!$C$10*M131+'Model Coefficients'!$C$11*N131+'Model Coefficients'!$C$12*O131+'Model Coefficients'!$C$13*P131+'Model Coefficients'!$C$14*Q131</f>
        <v/>
      </c>
      <c r="S131" s="8">
        <f>1/(1+EXP(-R131))</f>
        <v/>
      </c>
      <c r="T131" s="6">
        <f>IF(S131&lt;0.15,"Low Risk",IF(S131&lt;0.35,"Medium Risk","High Risk"))</f>
        <v/>
      </c>
      <c r="U131" s="6" t="inlineStr">
        <is>
          <t>Repaid</t>
        </is>
      </c>
    </row>
    <row r="132">
      <c r="A132" s="6" t="inlineStr">
        <is>
          <t>MFI-0131</t>
        </is>
      </c>
      <c r="B132" s="6" t="n">
        <v>161.1</v>
      </c>
      <c r="C132" s="6" t="n">
        <v>12</v>
      </c>
      <c r="D132" s="6" t="n">
        <v>34</v>
      </c>
      <c r="E132" s="6" t="n">
        <v>80.93000000000001</v>
      </c>
      <c r="F132" s="6" t="n">
        <v>0</v>
      </c>
      <c r="G132" s="6" t="n">
        <v>3</v>
      </c>
      <c r="H132" s="6" t="n">
        <v>0</v>
      </c>
      <c r="I132" s="6" t="n">
        <v>0</v>
      </c>
      <c r="J132" s="7">
        <f>(B132-'Model Coefficients'!$C$18)/'Model Coefficients'!$D$18</f>
        <v/>
      </c>
      <c r="K132" s="7">
        <f>(C132-'Model Coefficients'!$C$19)/'Model Coefficients'!$D$19</f>
        <v/>
      </c>
      <c r="L132" s="7">
        <f>(D132-'Model Coefficients'!$C$20)/'Model Coefficients'!$D$20</f>
        <v/>
      </c>
      <c r="M132" s="7">
        <f>(E132-'Model Coefficients'!$C$21)/'Model Coefficients'!$D$21</f>
        <v/>
      </c>
      <c r="N132" s="7">
        <f>(F132-'Model Coefficients'!$C$22)/'Model Coefficients'!$D$22</f>
        <v/>
      </c>
      <c r="O132" s="7">
        <f>(G132-'Model Coefficients'!$C$23)/'Model Coefficients'!$D$23</f>
        <v/>
      </c>
      <c r="P132" s="7">
        <f>(H132-'Model Coefficients'!$C$24)/'Model Coefficients'!$D$24</f>
        <v/>
      </c>
      <c r="Q132" s="7">
        <f>(I132-'Model Coefficients'!$C$25)/'Model Coefficients'!$D$25</f>
        <v/>
      </c>
      <c r="R132" s="7">
        <f>'Model Coefficients'!$C$6+'Model Coefficients'!$C$7*J132+'Model Coefficients'!$C$8*K132+'Model Coefficients'!$C$9*L132+'Model Coefficients'!$C$10*M132+'Model Coefficients'!$C$11*N132+'Model Coefficients'!$C$12*O132+'Model Coefficients'!$C$13*P132+'Model Coefficients'!$C$14*Q132</f>
        <v/>
      </c>
      <c r="S132" s="8">
        <f>1/(1+EXP(-R132))</f>
        <v/>
      </c>
      <c r="T132" s="6">
        <f>IF(S132&lt;0.15,"Low Risk",IF(S132&lt;0.35,"Medium Risk","High Risk"))</f>
        <v/>
      </c>
      <c r="U132" s="6" t="inlineStr">
        <is>
          <t>Repaid</t>
        </is>
      </c>
    </row>
    <row r="133">
      <c r="A133" s="6" t="inlineStr">
        <is>
          <t>MFI-0132</t>
        </is>
      </c>
      <c r="B133" s="6" t="n">
        <v>204.7</v>
      </c>
      <c r="C133" s="6" t="n">
        <v>6</v>
      </c>
      <c r="D133" s="6" t="n">
        <v>23</v>
      </c>
      <c r="E133" s="6" t="n">
        <v>91.70999999999999</v>
      </c>
      <c r="F133" s="6" t="n">
        <v>4</v>
      </c>
      <c r="G133" s="6" t="n">
        <v>5</v>
      </c>
      <c r="H133" s="6" t="n">
        <v>0</v>
      </c>
      <c r="I133" s="6" t="n">
        <v>0</v>
      </c>
      <c r="J133" s="7">
        <f>(B133-'Model Coefficients'!$C$18)/'Model Coefficients'!$D$18</f>
        <v/>
      </c>
      <c r="K133" s="7">
        <f>(C133-'Model Coefficients'!$C$19)/'Model Coefficients'!$D$19</f>
        <v/>
      </c>
      <c r="L133" s="7">
        <f>(D133-'Model Coefficients'!$C$20)/'Model Coefficients'!$D$20</f>
        <v/>
      </c>
      <c r="M133" s="7">
        <f>(E133-'Model Coefficients'!$C$21)/'Model Coefficients'!$D$21</f>
        <v/>
      </c>
      <c r="N133" s="7">
        <f>(F133-'Model Coefficients'!$C$22)/'Model Coefficients'!$D$22</f>
        <v/>
      </c>
      <c r="O133" s="7">
        <f>(G133-'Model Coefficients'!$C$23)/'Model Coefficients'!$D$23</f>
        <v/>
      </c>
      <c r="P133" s="7">
        <f>(H133-'Model Coefficients'!$C$24)/'Model Coefficients'!$D$24</f>
        <v/>
      </c>
      <c r="Q133" s="7">
        <f>(I133-'Model Coefficients'!$C$25)/'Model Coefficients'!$D$25</f>
        <v/>
      </c>
      <c r="R133" s="7">
        <f>'Model Coefficients'!$C$6+'Model Coefficients'!$C$7*J133+'Model Coefficients'!$C$8*K133+'Model Coefficients'!$C$9*L133+'Model Coefficients'!$C$10*M133+'Model Coefficients'!$C$11*N133+'Model Coefficients'!$C$12*O133+'Model Coefficients'!$C$13*P133+'Model Coefficients'!$C$14*Q133</f>
        <v/>
      </c>
      <c r="S133" s="8">
        <f>1/(1+EXP(-R133))</f>
        <v/>
      </c>
      <c r="T133" s="6">
        <f>IF(S133&lt;0.15,"Low Risk",IF(S133&lt;0.35,"Medium Risk","High Risk"))</f>
        <v/>
      </c>
      <c r="U133" s="6" t="inlineStr">
        <is>
          <t>Repaid</t>
        </is>
      </c>
    </row>
    <row r="134">
      <c r="A134" s="6" t="inlineStr">
        <is>
          <t>MFI-0133</t>
        </is>
      </c>
      <c r="B134" s="6" t="n">
        <v>84.05</v>
      </c>
      <c r="C134" s="6" t="n">
        <v>18</v>
      </c>
      <c r="D134" s="6" t="n">
        <v>45</v>
      </c>
      <c r="E134" s="6" t="n">
        <v>59.7</v>
      </c>
      <c r="F134" s="6" t="n">
        <v>0</v>
      </c>
      <c r="G134" s="6" t="n">
        <v>3</v>
      </c>
      <c r="H134" s="6" t="n">
        <v>0</v>
      </c>
      <c r="I134" s="6" t="n">
        <v>0</v>
      </c>
      <c r="J134" s="7">
        <f>(B134-'Model Coefficients'!$C$18)/'Model Coefficients'!$D$18</f>
        <v/>
      </c>
      <c r="K134" s="7">
        <f>(C134-'Model Coefficients'!$C$19)/'Model Coefficients'!$D$19</f>
        <v/>
      </c>
      <c r="L134" s="7">
        <f>(D134-'Model Coefficients'!$C$20)/'Model Coefficients'!$D$20</f>
        <v/>
      </c>
      <c r="M134" s="7">
        <f>(E134-'Model Coefficients'!$C$21)/'Model Coefficients'!$D$21</f>
        <v/>
      </c>
      <c r="N134" s="7">
        <f>(F134-'Model Coefficients'!$C$22)/'Model Coefficients'!$D$22</f>
        <v/>
      </c>
      <c r="O134" s="7">
        <f>(G134-'Model Coefficients'!$C$23)/'Model Coefficients'!$D$23</f>
        <v/>
      </c>
      <c r="P134" s="7">
        <f>(H134-'Model Coefficients'!$C$24)/'Model Coefficients'!$D$24</f>
        <v/>
      </c>
      <c r="Q134" s="7">
        <f>(I134-'Model Coefficients'!$C$25)/'Model Coefficients'!$D$25</f>
        <v/>
      </c>
      <c r="R134" s="7">
        <f>'Model Coefficients'!$C$6+'Model Coefficients'!$C$7*J134+'Model Coefficients'!$C$8*K134+'Model Coefficients'!$C$9*L134+'Model Coefficients'!$C$10*M134+'Model Coefficients'!$C$11*N134+'Model Coefficients'!$C$12*O134+'Model Coefficients'!$C$13*P134+'Model Coefficients'!$C$14*Q134</f>
        <v/>
      </c>
      <c r="S134" s="8">
        <f>1/(1+EXP(-R134))</f>
        <v/>
      </c>
      <c r="T134" s="6">
        <f>IF(S134&lt;0.15,"Low Risk",IF(S134&lt;0.35,"Medium Risk","High Risk"))</f>
        <v/>
      </c>
      <c r="U134" s="6" t="inlineStr">
        <is>
          <t>Defaulted</t>
        </is>
      </c>
    </row>
    <row r="135">
      <c r="A135" s="6" t="inlineStr">
        <is>
          <t>MFI-0134</t>
        </is>
      </c>
      <c r="B135" s="6" t="n">
        <v>81.16</v>
      </c>
      <c r="C135" s="6" t="n">
        <v>12</v>
      </c>
      <c r="D135" s="6" t="n">
        <v>35</v>
      </c>
      <c r="E135" s="6" t="n">
        <v>38.34</v>
      </c>
      <c r="F135" s="6" t="n">
        <v>5</v>
      </c>
      <c r="G135" s="6" t="n">
        <v>1</v>
      </c>
      <c r="H135" s="6" t="n">
        <v>1</v>
      </c>
      <c r="I135" s="6" t="n">
        <v>0</v>
      </c>
      <c r="J135" s="7">
        <f>(B135-'Model Coefficients'!$C$18)/'Model Coefficients'!$D$18</f>
        <v/>
      </c>
      <c r="K135" s="7">
        <f>(C135-'Model Coefficients'!$C$19)/'Model Coefficients'!$D$19</f>
        <v/>
      </c>
      <c r="L135" s="7">
        <f>(D135-'Model Coefficients'!$C$20)/'Model Coefficients'!$D$20</f>
        <v/>
      </c>
      <c r="M135" s="7">
        <f>(E135-'Model Coefficients'!$C$21)/'Model Coefficients'!$D$21</f>
        <v/>
      </c>
      <c r="N135" s="7">
        <f>(F135-'Model Coefficients'!$C$22)/'Model Coefficients'!$D$22</f>
        <v/>
      </c>
      <c r="O135" s="7">
        <f>(G135-'Model Coefficients'!$C$23)/'Model Coefficients'!$D$23</f>
        <v/>
      </c>
      <c r="P135" s="7">
        <f>(H135-'Model Coefficients'!$C$24)/'Model Coefficients'!$D$24</f>
        <v/>
      </c>
      <c r="Q135" s="7">
        <f>(I135-'Model Coefficients'!$C$25)/'Model Coefficients'!$D$25</f>
        <v/>
      </c>
      <c r="R135" s="7">
        <f>'Model Coefficients'!$C$6+'Model Coefficients'!$C$7*J135+'Model Coefficients'!$C$8*K135+'Model Coefficients'!$C$9*L135+'Model Coefficients'!$C$10*M135+'Model Coefficients'!$C$11*N135+'Model Coefficients'!$C$12*O135+'Model Coefficients'!$C$13*P135+'Model Coefficients'!$C$14*Q135</f>
        <v/>
      </c>
      <c r="S135" s="8">
        <f>1/(1+EXP(-R135))</f>
        <v/>
      </c>
      <c r="T135" s="6">
        <f>IF(S135&lt;0.15,"Low Risk",IF(S135&lt;0.35,"Medium Risk","High Risk"))</f>
        <v/>
      </c>
      <c r="U135" s="6" t="inlineStr">
        <is>
          <t>Repaid</t>
        </is>
      </c>
    </row>
    <row r="136">
      <c r="A136" s="6" t="inlineStr">
        <is>
          <t>MFI-0135</t>
        </is>
      </c>
      <c r="B136" s="6" t="n">
        <v>287.37</v>
      </c>
      <c r="C136" s="6" t="n">
        <v>18</v>
      </c>
      <c r="D136" s="6" t="n">
        <v>35</v>
      </c>
      <c r="E136" s="6" t="n">
        <v>80.3</v>
      </c>
      <c r="F136" s="6" t="n">
        <v>0</v>
      </c>
      <c r="G136" s="6" t="n">
        <v>5</v>
      </c>
      <c r="H136" s="6" t="n">
        <v>0</v>
      </c>
      <c r="I136" s="6" t="n">
        <v>0</v>
      </c>
      <c r="J136" s="7">
        <f>(B136-'Model Coefficients'!$C$18)/'Model Coefficients'!$D$18</f>
        <v/>
      </c>
      <c r="K136" s="7">
        <f>(C136-'Model Coefficients'!$C$19)/'Model Coefficients'!$D$19</f>
        <v/>
      </c>
      <c r="L136" s="7">
        <f>(D136-'Model Coefficients'!$C$20)/'Model Coefficients'!$D$20</f>
        <v/>
      </c>
      <c r="M136" s="7">
        <f>(E136-'Model Coefficients'!$C$21)/'Model Coefficients'!$D$21</f>
        <v/>
      </c>
      <c r="N136" s="7">
        <f>(F136-'Model Coefficients'!$C$22)/'Model Coefficients'!$D$22</f>
        <v/>
      </c>
      <c r="O136" s="7">
        <f>(G136-'Model Coefficients'!$C$23)/'Model Coefficients'!$D$23</f>
        <v/>
      </c>
      <c r="P136" s="7">
        <f>(H136-'Model Coefficients'!$C$24)/'Model Coefficients'!$D$24</f>
        <v/>
      </c>
      <c r="Q136" s="7">
        <f>(I136-'Model Coefficients'!$C$25)/'Model Coefficients'!$D$25</f>
        <v/>
      </c>
      <c r="R136" s="7">
        <f>'Model Coefficients'!$C$6+'Model Coefficients'!$C$7*J136+'Model Coefficients'!$C$8*K136+'Model Coefficients'!$C$9*L136+'Model Coefficients'!$C$10*M136+'Model Coefficients'!$C$11*N136+'Model Coefficients'!$C$12*O136+'Model Coefficients'!$C$13*P136+'Model Coefficients'!$C$14*Q136</f>
        <v/>
      </c>
      <c r="S136" s="8">
        <f>1/(1+EXP(-R136))</f>
        <v/>
      </c>
      <c r="T136" s="6">
        <f>IF(S136&lt;0.15,"Low Risk",IF(S136&lt;0.35,"Medium Risk","High Risk"))</f>
        <v/>
      </c>
      <c r="U136" s="6" t="inlineStr">
        <is>
          <t>Defaulted</t>
        </is>
      </c>
    </row>
    <row r="137">
      <c r="A137" s="6" t="inlineStr">
        <is>
          <t>MFI-0136</t>
        </is>
      </c>
      <c r="B137" s="6" t="n">
        <v>222.97</v>
      </c>
      <c r="C137" s="6" t="n">
        <v>24</v>
      </c>
      <c r="D137" s="6" t="n">
        <v>43</v>
      </c>
      <c r="E137" s="6" t="n">
        <v>32.86</v>
      </c>
      <c r="F137" s="6" t="n">
        <v>3</v>
      </c>
      <c r="G137" s="6" t="n">
        <v>2</v>
      </c>
      <c r="H137" s="6" t="n">
        <v>0</v>
      </c>
      <c r="I137" s="6" t="n">
        <v>0</v>
      </c>
      <c r="J137" s="7">
        <f>(B137-'Model Coefficients'!$C$18)/'Model Coefficients'!$D$18</f>
        <v/>
      </c>
      <c r="K137" s="7">
        <f>(C137-'Model Coefficients'!$C$19)/'Model Coefficients'!$D$19</f>
        <v/>
      </c>
      <c r="L137" s="7">
        <f>(D137-'Model Coefficients'!$C$20)/'Model Coefficients'!$D$20</f>
        <v/>
      </c>
      <c r="M137" s="7">
        <f>(E137-'Model Coefficients'!$C$21)/'Model Coefficients'!$D$21</f>
        <v/>
      </c>
      <c r="N137" s="7">
        <f>(F137-'Model Coefficients'!$C$22)/'Model Coefficients'!$D$22</f>
        <v/>
      </c>
      <c r="O137" s="7">
        <f>(G137-'Model Coefficients'!$C$23)/'Model Coefficients'!$D$23</f>
        <v/>
      </c>
      <c r="P137" s="7">
        <f>(H137-'Model Coefficients'!$C$24)/'Model Coefficients'!$D$24</f>
        <v/>
      </c>
      <c r="Q137" s="7">
        <f>(I137-'Model Coefficients'!$C$25)/'Model Coefficients'!$D$25</f>
        <v/>
      </c>
      <c r="R137" s="7">
        <f>'Model Coefficients'!$C$6+'Model Coefficients'!$C$7*J137+'Model Coefficients'!$C$8*K137+'Model Coefficients'!$C$9*L137+'Model Coefficients'!$C$10*M137+'Model Coefficients'!$C$11*N137+'Model Coefficients'!$C$12*O137+'Model Coefficients'!$C$13*P137+'Model Coefficients'!$C$14*Q137</f>
        <v/>
      </c>
      <c r="S137" s="8">
        <f>1/(1+EXP(-R137))</f>
        <v/>
      </c>
      <c r="T137" s="6">
        <f>IF(S137&lt;0.15,"Low Risk",IF(S137&lt;0.35,"Medium Risk","High Risk"))</f>
        <v/>
      </c>
      <c r="U137" s="6" t="inlineStr">
        <is>
          <t>Repaid</t>
        </is>
      </c>
    </row>
    <row r="138">
      <c r="A138" s="6" t="inlineStr">
        <is>
          <t>MFI-0137</t>
        </is>
      </c>
      <c r="B138" s="6" t="n">
        <v>29.61</v>
      </c>
      <c r="C138" s="6" t="n">
        <v>6</v>
      </c>
      <c r="D138" s="6" t="n">
        <v>36</v>
      </c>
      <c r="E138" s="6" t="n">
        <v>79.98</v>
      </c>
      <c r="F138" s="6" t="n">
        <v>0</v>
      </c>
      <c r="G138" s="6" t="n">
        <v>0</v>
      </c>
      <c r="H138" s="6" t="n">
        <v>1</v>
      </c>
      <c r="I138" s="6" t="n">
        <v>1</v>
      </c>
      <c r="J138" s="7">
        <f>(B138-'Model Coefficients'!$C$18)/'Model Coefficients'!$D$18</f>
        <v/>
      </c>
      <c r="K138" s="7">
        <f>(C138-'Model Coefficients'!$C$19)/'Model Coefficients'!$D$19</f>
        <v/>
      </c>
      <c r="L138" s="7">
        <f>(D138-'Model Coefficients'!$C$20)/'Model Coefficients'!$D$20</f>
        <v/>
      </c>
      <c r="M138" s="7">
        <f>(E138-'Model Coefficients'!$C$21)/'Model Coefficients'!$D$21</f>
        <v/>
      </c>
      <c r="N138" s="7">
        <f>(F138-'Model Coefficients'!$C$22)/'Model Coefficients'!$D$22</f>
        <v/>
      </c>
      <c r="O138" s="7">
        <f>(G138-'Model Coefficients'!$C$23)/'Model Coefficients'!$D$23</f>
        <v/>
      </c>
      <c r="P138" s="7">
        <f>(H138-'Model Coefficients'!$C$24)/'Model Coefficients'!$D$24</f>
        <v/>
      </c>
      <c r="Q138" s="7">
        <f>(I138-'Model Coefficients'!$C$25)/'Model Coefficients'!$D$25</f>
        <v/>
      </c>
      <c r="R138" s="7">
        <f>'Model Coefficients'!$C$6+'Model Coefficients'!$C$7*J138+'Model Coefficients'!$C$8*K138+'Model Coefficients'!$C$9*L138+'Model Coefficients'!$C$10*M138+'Model Coefficients'!$C$11*N138+'Model Coefficients'!$C$12*O138+'Model Coefficients'!$C$13*P138+'Model Coefficients'!$C$14*Q138</f>
        <v/>
      </c>
      <c r="S138" s="8">
        <f>1/(1+EXP(-R138))</f>
        <v/>
      </c>
      <c r="T138" s="6">
        <f>IF(S138&lt;0.15,"Low Risk",IF(S138&lt;0.35,"Medium Risk","High Risk"))</f>
        <v/>
      </c>
      <c r="U138" s="6" t="inlineStr">
        <is>
          <t>Repaid</t>
        </is>
      </c>
    </row>
    <row r="139">
      <c r="A139" s="6" t="inlineStr">
        <is>
          <t>MFI-0138</t>
        </is>
      </c>
      <c r="B139" s="6" t="n">
        <v>294.85</v>
      </c>
      <c r="C139" s="6" t="n">
        <v>24</v>
      </c>
      <c r="D139" s="6" t="n">
        <v>49</v>
      </c>
      <c r="E139" s="6" t="n">
        <v>82.47</v>
      </c>
      <c r="F139" s="6" t="n">
        <v>4</v>
      </c>
      <c r="G139" s="6" t="n">
        <v>0</v>
      </c>
      <c r="H139" s="6" t="n">
        <v>0</v>
      </c>
      <c r="I139" s="6" t="n">
        <v>1</v>
      </c>
      <c r="J139" s="7">
        <f>(B139-'Model Coefficients'!$C$18)/'Model Coefficients'!$D$18</f>
        <v/>
      </c>
      <c r="K139" s="7">
        <f>(C139-'Model Coefficients'!$C$19)/'Model Coefficients'!$D$19</f>
        <v/>
      </c>
      <c r="L139" s="7">
        <f>(D139-'Model Coefficients'!$C$20)/'Model Coefficients'!$D$20</f>
        <v/>
      </c>
      <c r="M139" s="7">
        <f>(E139-'Model Coefficients'!$C$21)/'Model Coefficients'!$D$21</f>
        <v/>
      </c>
      <c r="N139" s="7">
        <f>(F139-'Model Coefficients'!$C$22)/'Model Coefficients'!$D$22</f>
        <v/>
      </c>
      <c r="O139" s="7">
        <f>(G139-'Model Coefficients'!$C$23)/'Model Coefficients'!$D$23</f>
        <v/>
      </c>
      <c r="P139" s="7">
        <f>(H139-'Model Coefficients'!$C$24)/'Model Coefficients'!$D$24</f>
        <v/>
      </c>
      <c r="Q139" s="7">
        <f>(I139-'Model Coefficients'!$C$25)/'Model Coefficients'!$D$25</f>
        <v/>
      </c>
      <c r="R139" s="7">
        <f>'Model Coefficients'!$C$6+'Model Coefficients'!$C$7*J139+'Model Coefficients'!$C$8*K139+'Model Coefficients'!$C$9*L139+'Model Coefficients'!$C$10*M139+'Model Coefficients'!$C$11*N139+'Model Coefficients'!$C$12*O139+'Model Coefficients'!$C$13*P139+'Model Coefficients'!$C$14*Q139</f>
        <v/>
      </c>
      <c r="S139" s="8">
        <f>1/(1+EXP(-R139))</f>
        <v/>
      </c>
      <c r="T139" s="6">
        <f>IF(S139&lt;0.15,"Low Risk",IF(S139&lt;0.35,"Medium Risk","High Risk"))</f>
        <v/>
      </c>
      <c r="U139" s="6" t="inlineStr">
        <is>
          <t>Repaid</t>
        </is>
      </c>
    </row>
    <row r="140">
      <c r="A140" s="6" t="inlineStr">
        <is>
          <t>MFI-0139</t>
        </is>
      </c>
      <c r="B140" s="6" t="n">
        <v>22.38</v>
      </c>
      <c r="C140" s="6" t="n">
        <v>24</v>
      </c>
      <c r="D140" s="6" t="n">
        <v>55</v>
      </c>
      <c r="E140" s="6" t="n">
        <v>82.08</v>
      </c>
      <c r="F140" s="6" t="n">
        <v>0</v>
      </c>
      <c r="G140" s="6" t="n">
        <v>3</v>
      </c>
      <c r="H140" s="6" t="n">
        <v>1</v>
      </c>
      <c r="I140" s="6" t="n">
        <v>1</v>
      </c>
      <c r="J140" s="7">
        <f>(B140-'Model Coefficients'!$C$18)/'Model Coefficients'!$D$18</f>
        <v/>
      </c>
      <c r="K140" s="7">
        <f>(C140-'Model Coefficients'!$C$19)/'Model Coefficients'!$D$19</f>
        <v/>
      </c>
      <c r="L140" s="7">
        <f>(D140-'Model Coefficients'!$C$20)/'Model Coefficients'!$D$20</f>
        <v/>
      </c>
      <c r="M140" s="7">
        <f>(E140-'Model Coefficients'!$C$21)/'Model Coefficients'!$D$21</f>
        <v/>
      </c>
      <c r="N140" s="7">
        <f>(F140-'Model Coefficients'!$C$22)/'Model Coefficients'!$D$22</f>
        <v/>
      </c>
      <c r="O140" s="7">
        <f>(G140-'Model Coefficients'!$C$23)/'Model Coefficients'!$D$23</f>
        <v/>
      </c>
      <c r="P140" s="7">
        <f>(H140-'Model Coefficients'!$C$24)/'Model Coefficients'!$D$24</f>
        <v/>
      </c>
      <c r="Q140" s="7">
        <f>(I140-'Model Coefficients'!$C$25)/'Model Coefficients'!$D$25</f>
        <v/>
      </c>
      <c r="R140" s="7">
        <f>'Model Coefficients'!$C$6+'Model Coefficients'!$C$7*J140+'Model Coefficients'!$C$8*K140+'Model Coefficients'!$C$9*L140+'Model Coefficients'!$C$10*M140+'Model Coefficients'!$C$11*N140+'Model Coefficients'!$C$12*O140+'Model Coefficients'!$C$13*P140+'Model Coefficients'!$C$14*Q140</f>
        <v/>
      </c>
      <c r="S140" s="8">
        <f>1/(1+EXP(-R140))</f>
        <v/>
      </c>
      <c r="T140" s="6">
        <f>IF(S140&lt;0.15,"Low Risk",IF(S140&lt;0.35,"Medium Risk","High Risk"))</f>
        <v/>
      </c>
      <c r="U140" s="6" t="inlineStr">
        <is>
          <t>Repaid</t>
        </is>
      </c>
    </row>
    <row r="141">
      <c r="A141" s="6" t="inlineStr">
        <is>
          <t>MFI-0140</t>
        </is>
      </c>
      <c r="B141" s="6" t="n">
        <v>94.19</v>
      </c>
      <c r="C141" s="6" t="n">
        <v>6</v>
      </c>
      <c r="D141" s="6" t="n">
        <v>49</v>
      </c>
      <c r="E141" s="6" t="n">
        <v>51.96</v>
      </c>
      <c r="F141" s="6" t="n">
        <v>2</v>
      </c>
      <c r="G141" s="6" t="n">
        <v>0</v>
      </c>
      <c r="H141" s="6" t="n">
        <v>0</v>
      </c>
      <c r="I141" s="6" t="n">
        <v>1</v>
      </c>
      <c r="J141" s="7">
        <f>(B141-'Model Coefficients'!$C$18)/'Model Coefficients'!$D$18</f>
        <v/>
      </c>
      <c r="K141" s="7">
        <f>(C141-'Model Coefficients'!$C$19)/'Model Coefficients'!$D$19</f>
        <v/>
      </c>
      <c r="L141" s="7">
        <f>(D141-'Model Coefficients'!$C$20)/'Model Coefficients'!$D$20</f>
        <v/>
      </c>
      <c r="M141" s="7">
        <f>(E141-'Model Coefficients'!$C$21)/'Model Coefficients'!$D$21</f>
        <v/>
      </c>
      <c r="N141" s="7">
        <f>(F141-'Model Coefficients'!$C$22)/'Model Coefficients'!$D$22</f>
        <v/>
      </c>
      <c r="O141" s="7">
        <f>(G141-'Model Coefficients'!$C$23)/'Model Coefficients'!$D$23</f>
        <v/>
      </c>
      <c r="P141" s="7">
        <f>(H141-'Model Coefficients'!$C$24)/'Model Coefficients'!$D$24</f>
        <v/>
      </c>
      <c r="Q141" s="7">
        <f>(I141-'Model Coefficients'!$C$25)/'Model Coefficients'!$D$25</f>
        <v/>
      </c>
      <c r="R141" s="7">
        <f>'Model Coefficients'!$C$6+'Model Coefficients'!$C$7*J141+'Model Coefficients'!$C$8*K141+'Model Coefficients'!$C$9*L141+'Model Coefficients'!$C$10*M141+'Model Coefficients'!$C$11*N141+'Model Coefficients'!$C$12*O141+'Model Coefficients'!$C$13*P141+'Model Coefficients'!$C$14*Q141</f>
        <v/>
      </c>
      <c r="S141" s="8">
        <f>1/(1+EXP(-R141))</f>
        <v/>
      </c>
      <c r="T141" s="6">
        <f>IF(S141&lt;0.15,"Low Risk",IF(S141&lt;0.35,"Medium Risk","High Risk"))</f>
        <v/>
      </c>
      <c r="U141" s="6" t="inlineStr">
        <is>
          <t>Repaid</t>
        </is>
      </c>
    </row>
    <row r="142">
      <c r="A142" s="6" t="inlineStr">
        <is>
          <t>MFI-0141</t>
        </is>
      </c>
      <c r="B142" s="6" t="n">
        <v>276.85</v>
      </c>
      <c r="C142" s="6" t="n">
        <v>12</v>
      </c>
      <c r="D142" s="6" t="n">
        <v>59</v>
      </c>
      <c r="E142" s="6" t="n">
        <v>56.61</v>
      </c>
      <c r="F142" s="6" t="n">
        <v>5</v>
      </c>
      <c r="G142" s="6" t="n">
        <v>4</v>
      </c>
      <c r="H142" s="6" t="n">
        <v>1</v>
      </c>
      <c r="I142" s="6" t="n">
        <v>1</v>
      </c>
      <c r="J142" s="7">
        <f>(B142-'Model Coefficients'!$C$18)/'Model Coefficients'!$D$18</f>
        <v/>
      </c>
      <c r="K142" s="7">
        <f>(C142-'Model Coefficients'!$C$19)/'Model Coefficients'!$D$19</f>
        <v/>
      </c>
      <c r="L142" s="7">
        <f>(D142-'Model Coefficients'!$C$20)/'Model Coefficients'!$D$20</f>
        <v/>
      </c>
      <c r="M142" s="7">
        <f>(E142-'Model Coefficients'!$C$21)/'Model Coefficients'!$D$21</f>
        <v/>
      </c>
      <c r="N142" s="7">
        <f>(F142-'Model Coefficients'!$C$22)/'Model Coefficients'!$D$22</f>
        <v/>
      </c>
      <c r="O142" s="7">
        <f>(G142-'Model Coefficients'!$C$23)/'Model Coefficients'!$D$23</f>
        <v/>
      </c>
      <c r="P142" s="7">
        <f>(H142-'Model Coefficients'!$C$24)/'Model Coefficients'!$D$24</f>
        <v/>
      </c>
      <c r="Q142" s="7">
        <f>(I142-'Model Coefficients'!$C$25)/'Model Coefficients'!$D$25</f>
        <v/>
      </c>
      <c r="R142" s="7">
        <f>'Model Coefficients'!$C$6+'Model Coefficients'!$C$7*J142+'Model Coefficients'!$C$8*K142+'Model Coefficients'!$C$9*L142+'Model Coefficients'!$C$10*M142+'Model Coefficients'!$C$11*N142+'Model Coefficients'!$C$12*O142+'Model Coefficients'!$C$13*P142+'Model Coefficients'!$C$14*Q142</f>
        <v/>
      </c>
      <c r="S142" s="8">
        <f>1/(1+EXP(-R142))</f>
        <v/>
      </c>
      <c r="T142" s="6">
        <f>IF(S142&lt;0.15,"Low Risk",IF(S142&lt;0.35,"Medium Risk","High Risk"))</f>
        <v/>
      </c>
      <c r="U142" s="6" t="inlineStr">
        <is>
          <t>Defaulted</t>
        </is>
      </c>
    </row>
    <row r="143">
      <c r="A143" s="6" t="inlineStr">
        <is>
          <t>MFI-0142</t>
        </is>
      </c>
      <c r="B143" s="6" t="n">
        <v>42.51</v>
      </c>
      <c r="C143" s="6" t="n">
        <v>24</v>
      </c>
      <c r="D143" s="6" t="n">
        <v>31</v>
      </c>
      <c r="E143" s="6" t="n">
        <v>42.83</v>
      </c>
      <c r="F143" s="6" t="n">
        <v>3</v>
      </c>
      <c r="G143" s="6" t="n">
        <v>0</v>
      </c>
      <c r="H143" s="6" t="n">
        <v>1</v>
      </c>
      <c r="I143" s="6" t="n">
        <v>0</v>
      </c>
      <c r="J143" s="7">
        <f>(B143-'Model Coefficients'!$C$18)/'Model Coefficients'!$D$18</f>
        <v/>
      </c>
      <c r="K143" s="7">
        <f>(C143-'Model Coefficients'!$C$19)/'Model Coefficients'!$D$19</f>
        <v/>
      </c>
      <c r="L143" s="7">
        <f>(D143-'Model Coefficients'!$C$20)/'Model Coefficients'!$D$20</f>
        <v/>
      </c>
      <c r="M143" s="7">
        <f>(E143-'Model Coefficients'!$C$21)/'Model Coefficients'!$D$21</f>
        <v/>
      </c>
      <c r="N143" s="7">
        <f>(F143-'Model Coefficients'!$C$22)/'Model Coefficients'!$D$22</f>
        <v/>
      </c>
      <c r="O143" s="7">
        <f>(G143-'Model Coefficients'!$C$23)/'Model Coefficients'!$D$23</f>
        <v/>
      </c>
      <c r="P143" s="7">
        <f>(H143-'Model Coefficients'!$C$24)/'Model Coefficients'!$D$24</f>
        <v/>
      </c>
      <c r="Q143" s="7">
        <f>(I143-'Model Coefficients'!$C$25)/'Model Coefficients'!$D$25</f>
        <v/>
      </c>
      <c r="R143" s="7">
        <f>'Model Coefficients'!$C$6+'Model Coefficients'!$C$7*J143+'Model Coefficients'!$C$8*K143+'Model Coefficients'!$C$9*L143+'Model Coefficients'!$C$10*M143+'Model Coefficients'!$C$11*N143+'Model Coefficients'!$C$12*O143+'Model Coefficients'!$C$13*P143+'Model Coefficients'!$C$14*Q143</f>
        <v/>
      </c>
      <c r="S143" s="8">
        <f>1/(1+EXP(-R143))</f>
        <v/>
      </c>
      <c r="T143" s="6">
        <f>IF(S143&lt;0.15,"Low Risk",IF(S143&lt;0.35,"Medium Risk","High Risk"))</f>
        <v/>
      </c>
      <c r="U143" s="6" t="inlineStr">
        <is>
          <t>Repaid</t>
        </is>
      </c>
    </row>
    <row r="144">
      <c r="A144" s="6" t="inlineStr">
        <is>
          <t>MFI-0143</t>
        </is>
      </c>
      <c r="B144" s="6" t="n">
        <v>259.32</v>
      </c>
      <c r="C144" s="6" t="n">
        <v>24</v>
      </c>
      <c r="D144" s="6" t="n">
        <v>32</v>
      </c>
      <c r="E144" s="6" t="n">
        <v>97.88</v>
      </c>
      <c r="F144" s="6" t="n">
        <v>2</v>
      </c>
      <c r="G144" s="6" t="n">
        <v>2</v>
      </c>
      <c r="H144" s="6" t="n">
        <v>1</v>
      </c>
      <c r="I144" s="6" t="n">
        <v>1</v>
      </c>
      <c r="J144" s="7">
        <f>(B144-'Model Coefficients'!$C$18)/'Model Coefficients'!$D$18</f>
        <v/>
      </c>
      <c r="K144" s="7">
        <f>(C144-'Model Coefficients'!$C$19)/'Model Coefficients'!$D$19</f>
        <v/>
      </c>
      <c r="L144" s="7">
        <f>(D144-'Model Coefficients'!$C$20)/'Model Coefficients'!$D$20</f>
        <v/>
      </c>
      <c r="M144" s="7">
        <f>(E144-'Model Coefficients'!$C$21)/'Model Coefficients'!$D$21</f>
        <v/>
      </c>
      <c r="N144" s="7">
        <f>(F144-'Model Coefficients'!$C$22)/'Model Coefficients'!$D$22</f>
        <v/>
      </c>
      <c r="O144" s="7">
        <f>(G144-'Model Coefficients'!$C$23)/'Model Coefficients'!$D$23</f>
        <v/>
      </c>
      <c r="P144" s="7">
        <f>(H144-'Model Coefficients'!$C$24)/'Model Coefficients'!$D$24</f>
        <v/>
      </c>
      <c r="Q144" s="7">
        <f>(I144-'Model Coefficients'!$C$25)/'Model Coefficients'!$D$25</f>
        <v/>
      </c>
      <c r="R144" s="7">
        <f>'Model Coefficients'!$C$6+'Model Coefficients'!$C$7*J144+'Model Coefficients'!$C$8*K144+'Model Coefficients'!$C$9*L144+'Model Coefficients'!$C$10*M144+'Model Coefficients'!$C$11*N144+'Model Coefficients'!$C$12*O144+'Model Coefficients'!$C$13*P144+'Model Coefficients'!$C$14*Q144</f>
        <v/>
      </c>
      <c r="S144" s="8">
        <f>1/(1+EXP(-R144))</f>
        <v/>
      </c>
      <c r="T144" s="6">
        <f>IF(S144&lt;0.15,"Low Risk",IF(S144&lt;0.35,"Medium Risk","High Risk"))</f>
        <v/>
      </c>
      <c r="U144" s="6" t="inlineStr">
        <is>
          <t>Repaid</t>
        </is>
      </c>
    </row>
    <row r="145">
      <c r="A145" s="6" t="inlineStr">
        <is>
          <t>MFI-0144</t>
        </is>
      </c>
      <c r="B145" s="6" t="n">
        <v>60.51</v>
      </c>
      <c r="C145" s="6" t="n">
        <v>6</v>
      </c>
      <c r="D145" s="6" t="n">
        <v>33</v>
      </c>
      <c r="E145" s="6" t="n">
        <v>90.20999999999999</v>
      </c>
      <c r="F145" s="6" t="n">
        <v>3</v>
      </c>
      <c r="G145" s="6" t="n">
        <v>3</v>
      </c>
      <c r="H145" s="6" t="n">
        <v>1</v>
      </c>
      <c r="I145" s="6" t="n">
        <v>1</v>
      </c>
      <c r="J145" s="7">
        <f>(B145-'Model Coefficients'!$C$18)/'Model Coefficients'!$D$18</f>
        <v/>
      </c>
      <c r="K145" s="7">
        <f>(C145-'Model Coefficients'!$C$19)/'Model Coefficients'!$D$19</f>
        <v/>
      </c>
      <c r="L145" s="7">
        <f>(D145-'Model Coefficients'!$C$20)/'Model Coefficients'!$D$20</f>
        <v/>
      </c>
      <c r="M145" s="7">
        <f>(E145-'Model Coefficients'!$C$21)/'Model Coefficients'!$D$21</f>
        <v/>
      </c>
      <c r="N145" s="7">
        <f>(F145-'Model Coefficients'!$C$22)/'Model Coefficients'!$D$22</f>
        <v/>
      </c>
      <c r="O145" s="7">
        <f>(G145-'Model Coefficients'!$C$23)/'Model Coefficients'!$D$23</f>
        <v/>
      </c>
      <c r="P145" s="7">
        <f>(H145-'Model Coefficients'!$C$24)/'Model Coefficients'!$D$24</f>
        <v/>
      </c>
      <c r="Q145" s="7">
        <f>(I145-'Model Coefficients'!$C$25)/'Model Coefficients'!$D$25</f>
        <v/>
      </c>
      <c r="R145" s="7">
        <f>'Model Coefficients'!$C$6+'Model Coefficients'!$C$7*J145+'Model Coefficients'!$C$8*K145+'Model Coefficients'!$C$9*L145+'Model Coefficients'!$C$10*M145+'Model Coefficients'!$C$11*N145+'Model Coefficients'!$C$12*O145+'Model Coefficients'!$C$13*P145+'Model Coefficients'!$C$14*Q145</f>
        <v/>
      </c>
      <c r="S145" s="8">
        <f>1/(1+EXP(-R145))</f>
        <v/>
      </c>
      <c r="T145" s="6">
        <f>IF(S145&lt;0.15,"Low Risk",IF(S145&lt;0.35,"Medium Risk","High Risk"))</f>
        <v/>
      </c>
      <c r="U145" s="6" t="inlineStr">
        <is>
          <t>Repaid</t>
        </is>
      </c>
    </row>
    <row r="146">
      <c r="A146" s="6" t="inlineStr">
        <is>
          <t>MFI-0145</t>
        </is>
      </c>
      <c r="B146" s="6" t="n">
        <v>70.19</v>
      </c>
      <c r="C146" s="6" t="n">
        <v>24</v>
      </c>
      <c r="D146" s="6" t="n">
        <v>27</v>
      </c>
      <c r="E146" s="6" t="n">
        <v>87.59999999999999</v>
      </c>
      <c r="F146" s="6" t="n">
        <v>3</v>
      </c>
      <c r="G146" s="6" t="n">
        <v>0</v>
      </c>
      <c r="H146" s="6" t="n">
        <v>0</v>
      </c>
      <c r="I146" s="6" t="n">
        <v>1</v>
      </c>
      <c r="J146" s="7">
        <f>(B146-'Model Coefficients'!$C$18)/'Model Coefficients'!$D$18</f>
        <v/>
      </c>
      <c r="K146" s="7">
        <f>(C146-'Model Coefficients'!$C$19)/'Model Coefficients'!$D$19</f>
        <v/>
      </c>
      <c r="L146" s="7">
        <f>(D146-'Model Coefficients'!$C$20)/'Model Coefficients'!$D$20</f>
        <v/>
      </c>
      <c r="M146" s="7">
        <f>(E146-'Model Coefficients'!$C$21)/'Model Coefficients'!$D$21</f>
        <v/>
      </c>
      <c r="N146" s="7">
        <f>(F146-'Model Coefficients'!$C$22)/'Model Coefficients'!$D$22</f>
        <v/>
      </c>
      <c r="O146" s="7">
        <f>(G146-'Model Coefficients'!$C$23)/'Model Coefficients'!$D$23</f>
        <v/>
      </c>
      <c r="P146" s="7">
        <f>(H146-'Model Coefficients'!$C$24)/'Model Coefficients'!$D$24</f>
        <v/>
      </c>
      <c r="Q146" s="7">
        <f>(I146-'Model Coefficients'!$C$25)/'Model Coefficients'!$D$25</f>
        <v/>
      </c>
      <c r="R146" s="7">
        <f>'Model Coefficients'!$C$6+'Model Coefficients'!$C$7*J146+'Model Coefficients'!$C$8*K146+'Model Coefficients'!$C$9*L146+'Model Coefficients'!$C$10*M146+'Model Coefficients'!$C$11*N146+'Model Coefficients'!$C$12*O146+'Model Coefficients'!$C$13*P146+'Model Coefficients'!$C$14*Q146</f>
        <v/>
      </c>
      <c r="S146" s="8">
        <f>1/(1+EXP(-R146))</f>
        <v/>
      </c>
      <c r="T146" s="6">
        <f>IF(S146&lt;0.15,"Low Risk",IF(S146&lt;0.35,"Medium Risk","High Risk"))</f>
        <v/>
      </c>
      <c r="U146" s="6" t="inlineStr">
        <is>
          <t>Repaid</t>
        </is>
      </c>
    </row>
    <row r="147">
      <c r="A147" s="6" t="inlineStr">
        <is>
          <t>MFI-0146</t>
        </is>
      </c>
      <c r="B147" s="6" t="n">
        <v>239.71</v>
      </c>
      <c r="C147" s="6" t="n">
        <v>6</v>
      </c>
      <c r="D147" s="6" t="n">
        <v>26</v>
      </c>
      <c r="E147" s="6" t="n">
        <v>116.99</v>
      </c>
      <c r="F147" s="6" t="n">
        <v>0</v>
      </c>
      <c r="G147" s="6" t="n">
        <v>4</v>
      </c>
      <c r="H147" s="6" t="n">
        <v>0</v>
      </c>
      <c r="I147" s="6" t="n">
        <v>1</v>
      </c>
      <c r="J147" s="7">
        <f>(B147-'Model Coefficients'!$C$18)/'Model Coefficients'!$D$18</f>
        <v/>
      </c>
      <c r="K147" s="7">
        <f>(C147-'Model Coefficients'!$C$19)/'Model Coefficients'!$D$19</f>
        <v/>
      </c>
      <c r="L147" s="7">
        <f>(D147-'Model Coefficients'!$C$20)/'Model Coefficients'!$D$20</f>
        <v/>
      </c>
      <c r="M147" s="7">
        <f>(E147-'Model Coefficients'!$C$21)/'Model Coefficients'!$D$21</f>
        <v/>
      </c>
      <c r="N147" s="7">
        <f>(F147-'Model Coefficients'!$C$22)/'Model Coefficients'!$D$22</f>
        <v/>
      </c>
      <c r="O147" s="7">
        <f>(G147-'Model Coefficients'!$C$23)/'Model Coefficients'!$D$23</f>
        <v/>
      </c>
      <c r="P147" s="7">
        <f>(H147-'Model Coefficients'!$C$24)/'Model Coefficients'!$D$24</f>
        <v/>
      </c>
      <c r="Q147" s="7">
        <f>(I147-'Model Coefficients'!$C$25)/'Model Coefficients'!$D$25</f>
        <v/>
      </c>
      <c r="R147" s="7">
        <f>'Model Coefficients'!$C$6+'Model Coefficients'!$C$7*J147+'Model Coefficients'!$C$8*K147+'Model Coefficients'!$C$9*L147+'Model Coefficients'!$C$10*M147+'Model Coefficients'!$C$11*N147+'Model Coefficients'!$C$12*O147+'Model Coefficients'!$C$13*P147+'Model Coefficients'!$C$14*Q147</f>
        <v/>
      </c>
      <c r="S147" s="8">
        <f>1/(1+EXP(-R147))</f>
        <v/>
      </c>
      <c r="T147" s="6">
        <f>IF(S147&lt;0.15,"Low Risk",IF(S147&lt;0.35,"Medium Risk","High Risk"))</f>
        <v/>
      </c>
      <c r="U147" s="6" t="inlineStr">
        <is>
          <t>Repaid</t>
        </is>
      </c>
    </row>
    <row r="148">
      <c r="A148" s="6" t="inlineStr">
        <is>
          <t>MFI-0147</t>
        </is>
      </c>
      <c r="B148" s="6" t="n">
        <v>270.72</v>
      </c>
      <c r="C148" s="6" t="n">
        <v>12</v>
      </c>
      <c r="D148" s="6" t="n">
        <v>27</v>
      </c>
      <c r="E148" s="6" t="n">
        <v>108.12</v>
      </c>
      <c r="F148" s="6" t="n">
        <v>2</v>
      </c>
      <c r="G148" s="6" t="n">
        <v>0</v>
      </c>
      <c r="H148" s="6" t="n">
        <v>0</v>
      </c>
      <c r="I148" s="6" t="n">
        <v>0</v>
      </c>
      <c r="J148" s="7">
        <f>(B148-'Model Coefficients'!$C$18)/'Model Coefficients'!$D$18</f>
        <v/>
      </c>
      <c r="K148" s="7">
        <f>(C148-'Model Coefficients'!$C$19)/'Model Coefficients'!$D$19</f>
        <v/>
      </c>
      <c r="L148" s="7">
        <f>(D148-'Model Coefficients'!$C$20)/'Model Coefficients'!$D$20</f>
        <v/>
      </c>
      <c r="M148" s="7">
        <f>(E148-'Model Coefficients'!$C$21)/'Model Coefficients'!$D$21</f>
        <v/>
      </c>
      <c r="N148" s="7">
        <f>(F148-'Model Coefficients'!$C$22)/'Model Coefficients'!$D$22</f>
        <v/>
      </c>
      <c r="O148" s="7">
        <f>(G148-'Model Coefficients'!$C$23)/'Model Coefficients'!$D$23</f>
        <v/>
      </c>
      <c r="P148" s="7">
        <f>(H148-'Model Coefficients'!$C$24)/'Model Coefficients'!$D$24</f>
        <v/>
      </c>
      <c r="Q148" s="7">
        <f>(I148-'Model Coefficients'!$C$25)/'Model Coefficients'!$D$25</f>
        <v/>
      </c>
      <c r="R148" s="7">
        <f>'Model Coefficients'!$C$6+'Model Coefficients'!$C$7*J148+'Model Coefficients'!$C$8*K148+'Model Coefficients'!$C$9*L148+'Model Coefficients'!$C$10*M148+'Model Coefficients'!$C$11*N148+'Model Coefficients'!$C$12*O148+'Model Coefficients'!$C$13*P148+'Model Coefficients'!$C$14*Q148</f>
        <v/>
      </c>
      <c r="S148" s="8">
        <f>1/(1+EXP(-R148))</f>
        <v/>
      </c>
      <c r="T148" s="6">
        <f>IF(S148&lt;0.15,"Low Risk",IF(S148&lt;0.35,"Medium Risk","High Risk"))</f>
        <v/>
      </c>
      <c r="U148" s="6" t="inlineStr">
        <is>
          <t>Repaid</t>
        </is>
      </c>
    </row>
    <row r="149">
      <c r="A149" s="6" t="inlineStr">
        <is>
          <t>MFI-0148</t>
        </is>
      </c>
      <c r="B149" s="6" t="n">
        <v>149.01</v>
      </c>
      <c r="C149" s="6" t="n">
        <v>18</v>
      </c>
      <c r="D149" s="6" t="n">
        <v>49</v>
      </c>
      <c r="E149" s="6" t="n">
        <v>60.06</v>
      </c>
      <c r="F149" s="6" t="n">
        <v>1</v>
      </c>
      <c r="G149" s="6" t="n">
        <v>0</v>
      </c>
      <c r="H149" s="6" t="n">
        <v>1</v>
      </c>
      <c r="I149" s="6" t="n">
        <v>0</v>
      </c>
      <c r="J149" s="7">
        <f>(B149-'Model Coefficients'!$C$18)/'Model Coefficients'!$D$18</f>
        <v/>
      </c>
      <c r="K149" s="7">
        <f>(C149-'Model Coefficients'!$C$19)/'Model Coefficients'!$D$19</f>
        <v/>
      </c>
      <c r="L149" s="7">
        <f>(D149-'Model Coefficients'!$C$20)/'Model Coefficients'!$D$20</f>
        <v/>
      </c>
      <c r="M149" s="7">
        <f>(E149-'Model Coefficients'!$C$21)/'Model Coefficients'!$D$21</f>
        <v/>
      </c>
      <c r="N149" s="7">
        <f>(F149-'Model Coefficients'!$C$22)/'Model Coefficients'!$D$22</f>
        <v/>
      </c>
      <c r="O149" s="7">
        <f>(G149-'Model Coefficients'!$C$23)/'Model Coefficients'!$D$23</f>
        <v/>
      </c>
      <c r="P149" s="7">
        <f>(H149-'Model Coefficients'!$C$24)/'Model Coefficients'!$D$24</f>
        <v/>
      </c>
      <c r="Q149" s="7">
        <f>(I149-'Model Coefficients'!$C$25)/'Model Coefficients'!$D$25</f>
        <v/>
      </c>
      <c r="R149" s="7">
        <f>'Model Coefficients'!$C$6+'Model Coefficients'!$C$7*J149+'Model Coefficients'!$C$8*K149+'Model Coefficients'!$C$9*L149+'Model Coefficients'!$C$10*M149+'Model Coefficients'!$C$11*N149+'Model Coefficients'!$C$12*O149+'Model Coefficients'!$C$13*P149+'Model Coefficients'!$C$14*Q149</f>
        <v/>
      </c>
      <c r="S149" s="8">
        <f>1/(1+EXP(-R149))</f>
        <v/>
      </c>
      <c r="T149" s="6">
        <f>IF(S149&lt;0.15,"Low Risk",IF(S149&lt;0.35,"Medium Risk","High Risk"))</f>
        <v/>
      </c>
      <c r="U149" s="6" t="inlineStr">
        <is>
          <t>Defaulted</t>
        </is>
      </c>
    </row>
    <row r="150">
      <c r="A150" s="6" t="inlineStr">
        <is>
          <t>MFI-0149</t>
        </is>
      </c>
      <c r="B150" s="6" t="n">
        <v>30.78</v>
      </c>
      <c r="C150" s="6" t="n">
        <v>24</v>
      </c>
      <c r="D150" s="6" t="n">
        <v>40</v>
      </c>
      <c r="E150" s="6" t="n">
        <v>94.58</v>
      </c>
      <c r="F150" s="6" t="n">
        <v>2</v>
      </c>
      <c r="G150" s="6" t="n">
        <v>0</v>
      </c>
      <c r="H150" s="6" t="n">
        <v>1</v>
      </c>
      <c r="I150" s="6" t="n">
        <v>0</v>
      </c>
      <c r="J150" s="7">
        <f>(B150-'Model Coefficients'!$C$18)/'Model Coefficients'!$D$18</f>
        <v/>
      </c>
      <c r="K150" s="7">
        <f>(C150-'Model Coefficients'!$C$19)/'Model Coefficients'!$D$19</f>
        <v/>
      </c>
      <c r="L150" s="7">
        <f>(D150-'Model Coefficients'!$C$20)/'Model Coefficients'!$D$20</f>
        <v/>
      </c>
      <c r="M150" s="7">
        <f>(E150-'Model Coefficients'!$C$21)/'Model Coefficients'!$D$21</f>
        <v/>
      </c>
      <c r="N150" s="7">
        <f>(F150-'Model Coefficients'!$C$22)/'Model Coefficients'!$D$22</f>
        <v/>
      </c>
      <c r="O150" s="7">
        <f>(G150-'Model Coefficients'!$C$23)/'Model Coefficients'!$D$23</f>
        <v/>
      </c>
      <c r="P150" s="7">
        <f>(H150-'Model Coefficients'!$C$24)/'Model Coefficients'!$D$24</f>
        <v/>
      </c>
      <c r="Q150" s="7">
        <f>(I150-'Model Coefficients'!$C$25)/'Model Coefficients'!$D$25</f>
        <v/>
      </c>
      <c r="R150" s="7">
        <f>'Model Coefficients'!$C$6+'Model Coefficients'!$C$7*J150+'Model Coefficients'!$C$8*K150+'Model Coefficients'!$C$9*L150+'Model Coefficients'!$C$10*M150+'Model Coefficients'!$C$11*N150+'Model Coefficients'!$C$12*O150+'Model Coefficients'!$C$13*P150+'Model Coefficients'!$C$14*Q150</f>
        <v/>
      </c>
      <c r="S150" s="8">
        <f>1/(1+EXP(-R150))</f>
        <v/>
      </c>
      <c r="T150" s="6">
        <f>IF(S150&lt;0.15,"Low Risk",IF(S150&lt;0.35,"Medium Risk","High Risk"))</f>
        <v/>
      </c>
      <c r="U150" s="6" t="inlineStr">
        <is>
          <t>Repaid</t>
        </is>
      </c>
    </row>
    <row r="151">
      <c r="A151" s="6" t="inlineStr">
        <is>
          <t>MFI-0150</t>
        </is>
      </c>
      <c r="B151" s="6" t="n">
        <v>108.29</v>
      </c>
      <c r="C151" s="6" t="n">
        <v>6</v>
      </c>
      <c r="D151" s="6" t="n">
        <v>30</v>
      </c>
      <c r="E151" s="6" t="n">
        <v>82.63</v>
      </c>
      <c r="F151" s="6" t="n">
        <v>1</v>
      </c>
      <c r="G151" s="6" t="n">
        <v>5</v>
      </c>
      <c r="H151" s="6" t="n">
        <v>0</v>
      </c>
      <c r="I151" s="6" t="n">
        <v>0</v>
      </c>
      <c r="J151" s="7">
        <f>(B151-'Model Coefficients'!$C$18)/'Model Coefficients'!$D$18</f>
        <v/>
      </c>
      <c r="K151" s="7">
        <f>(C151-'Model Coefficients'!$C$19)/'Model Coefficients'!$D$19</f>
        <v/>
      </c>
      <c r="L151" s="7">
        <f>(D151-'Model Coefficients'!$C$20)/'Model Coefficients'!$D$20</f>
        <v/>
      </c>
      <c r="M151" s="7">
        <f>(E151-'Model Coefficients'!$C$21)/'Model Coefficients'!$D$21</f>
        <v/>
      </c>
      <c r="N151" s="7">
        <f>(F151-'Model Coefficients'!$C$22)/'Model Coefficients'!$D$22</f>
        <v/>
      </c>
      <c r="O151" s="7">
        <f>(G151-'Model Coefficients'!$C$23)/'Model Coefficients'!$D$23</f>
        <v/>
      </c>
      <c r="P151" s="7">
        <f>(H151-'Model Coefficients'!$C$24)/'Model Coefficients'!$D$24</f>
        <v/>
      </c>
      <c r="Q151" s="7">
        <f>(I151-'Model Coefficients'!$C$25)/'Model Coefficients'!$D$25</f>
        <v/>
      </c>
      <c r="R151" s="7">
        <f>'Model Coefficients'!$C$6+'Model Coefficients'!$C$7*J151+'Model Coefficients'!$C$8*K151+'Model Coefficients'!$C$9*L151+'Model Coefficients'!$C$10*M151+'Model Coefficients'!$C$11*N151+'Model Coefficients'!$C$12*O151+'Model Coefficients'!$C$13*P151+'Model Coefficients'!$C$14*Q151</f>
        <v/>
      </c>
      <c r="S151" s="8">
        <f>1/(1+EXP(-R151))</f>
        <v/>
      </c>
      <c r="T151" s="6">
        <f>IF(S151&lt;0.15,"Low Risk",IF(S151&lt;0.35,"Medium Risk","High Risk"))</f>
        <v/>
      </c>
      <c r="U151" s="6" t="inlineStr">
        <is>
          <t>Repaid</t>
        </is>
      </c>
    </row>
    <row r="152">
      <c r="A152" s="6" t="inlineStr">
        <is>
          <t>MFI-0151</t>
        </is>
      </c>
      <c r="B152" s="6" t="n">
        <v>24.28</v>
      </c>
      <c r="C152" s="6" t="n">
        <v>24</v>
      </c>
      <c r="D152" s="6" t="n">
        <v>46</v>
      </c>
      <c r="E152" s="6" t="n">
        <v>71.39</v>
      </c>
      <c r="F152" s="6" t="n">
        <v>1</v>
      </c>
      <c r="G152" s="6" t="n">
        <v>2</v>
      </c>
      <c r="H152" s="6" t="n">
        <v>1</v>
      </c>
      <c r="I152" s="6" t="n">
        <v>1</v>
      </c>
      <c r="J152" s="7">
        <f>(B152-'Model Coefficients'!$C$18)/'Model Coefficients'!$D$18</f>
        <v/>
      </c>
      <c r="K152" s="7">
        <f>(C152-'Model Coefficients'!$C$19)/'Model Coefficients'!$D$19</f>
        <v/>
      </c>
      <c r="L152" s="7">
        <f>(D152-'Model Coefficients'!$C$20)/'Model Coefficients'!$D$20</f>
        <v/>
      </c>
      <c r="M152" s="7">
        <f>(E152-'Model Coefficients'!$C$21)/'Model Coefficients'!$D$21</f>
        <v/>
      </c>
      <c r="N152" s="7">
        <f>(F152-'Model Coefficients'!$C$22)/'Model Coefficients'!$D$22</f>
        <v/>
      </c>
      <c r="O152" s="7">
        <f>(G152-'Model Coefficients'!$C$23)/'Model Coefficients'!$D$23</f>
        <v/>
      </c>
      <c r="P152" s="7">
        <f>(H152-'Model Coefficients'!$C$24)/'Model Coefficients'!$D$24</f>
        <v/>
      </c>
      <c r="Q152" s="7">
        <f>(I152-'Model Coefficients'!$C$25)/'Model Coefficients'!$D$25</f>
        <v/>
      </c>
      <c r="R152" s="7">
        <f>'Model Coefficients'!$C$6+'Model Coefficients'!$C$7*J152+'Model Coefficients'!$C$8*K152+'Model Coefficients'!$C$9*L152+'Model Coefficients'!$C$10*M152+'Model Coefficients'!$C$11*N152+'Model Coefficients'!$C$12*O152+'Model Coefficients'!$C$13*P152+'Model Coefficients'!$C$14*Q152</f>
        <v/>
      </c>
      <c r="S152" s="8">
        <f>1/(1+EXP(-R152))</f>
        <v/>
      </c>
      <c r="T152" s="6">
        <f>IF(S152&lt;0.15,"Low Risk",IF(S152&lt;0.35,"Medium Risk","High Risk"))</f>
        <v/>
      </c>
      <c r="U152" s="6" t="inlineStr">
        <is>
          <t>Repaid</t>
        </is>
      </c>
    </row>
    <row r="153">
      <c r="A153" s="6" t="inlineStr">
        <is>
          <t>MFI-0152</t>
        </is>
      </c>
      <c r="B153" s="6" t="n">
        <v>117.77</v>
      </c>
      <c r="C153" s="6" t="n">
        <v>24</v>
      </c>
      <c r="D153" s="6" t="n">
        <v>39</v>
      </c>
      <c r="E153" s="6" t="n">
        <v>29.7</v>
      </c>
      <c r="F153" s="6" t="n">
        <v>3</v>
      </c>
      <c r="G153" s="6" t="n">
        <v>2</v>
      </c>
      <c r="H153" s="6" t="n">
        <v>0</v>
      </c>
      <c r="I153" s="6" t="n">
        <v>1</v>
      </c>
      <c r="J153" s="7">
        <f>(B153-'Model Coefficients'!$C$18)/'Model Coefficients'!$D$18</f>
        <v/>
      </c>
      <c r="K153" s="7">
        <f>(C153-'Model Coefficients'!$C$19)/'Model Coefficients'!$D$19</f>
        <v/>
      </c>
      <c r="L153" s="7">
        <f>(D153-'Model Coefficients'!$C$20)/'Model Coefficients'!$D$20</f>
        <v/>
      </c>
      <c r="M153" s="7">
        <f>(E153-'Model Coefficients'!$C$21)/'Model Coefficients'!$D$21</f>
        <v/>
      </c>
      <c r="N153" s="7">
        <f>(F153-'Model Coefficients'!$C$22)/'Model Coefficients'!$D$22</f>
        <v/>
      </c>
      <c r="O153" s="7">
        <f>(G153-'Model Coefficients'!$C$23)/'Model Coefficients'!$D$23</f>
        <v/>
      </c>
      <c r="P153" s="7">
        <f>(H153-'Model Coefficients'!$C$24)/'Model Coefficients'!$D$24</f>
        <v/>
      </c>
      <c r="Q153" s="7">
        <f>(I153-'Model Coefficients'!$C$25)/'Model Coefficients'!$D$25</f>
        <v/>
      </c>
      <c r="R153" s="7">
        <f>'Model Coefficients'!$C$6+'Model Coefficients'!$C$7*J153+'Model Coefficients'!$C$8*K153+'Model Coefficients'!$C$9*L153+'Model Coefficients'!$C$10*M153+'Model Coefficients'!$C$11*N153+'Model Coefficients'!$C$12*O153+'Model Coefficients'!$C$13*P153+'Model Coefficients'!$C$14*Q153</f>
        <v/>
      </c>
      <c r="S153" s="8">
        <f>1/(1+EXP(-R153))</f>
        <v/>
      </c>
      <c r="T153" s="6">
        <f>IF(S153&lt;0.15,"Low Risk",IF(S153&lt;0.35,"Medium Risk","High Risk"))</f>
        <v/>
      </c>
      <c r="U153" s="6" t="inlineStr">
        <is>
          <t>Defaulted</t>
        </is>
      </c>
    </row>
    <row r="154">
      <c r="A154" s="6" t="inlineStr">
        <is>
          <t>MFI-0153</t>
        </is>
      </c>
      <c r="B154" s="6" t="n">
        <v>204.61</v>
      </c>
      <c r="C154" s="6" t="n">
        <v>12</v>
      </c>
      <c r="D154" s="6" t="n">
        <v>20</v>
      </c>
      <c r="E154" s="6" t="n">
        <v>66.83</v>
      </c>
      <c r="F154" s="6" t="n">
        <v>2</v>
      </c>
      <c r="G154" s="6" t="n">
        <v>1</v>
      </c>
      <c r="H154" s="6" t="n">
        <v>0</v>
      </c>
      <c r="I154" s="6" t="n">
        <v>0</v>
      </c>
      <c r="J154" s="7">
        <f>(B154-'Model Coefficients'!$C$18)/'Model Coefficients'!$D$18</f>
        <v/>
      </c>
      <c r="K154" s="7">
        <f>(C154-'Model Coefficients'!$C$19)/'Model Coefficients'!$D$19</f>
        <v/>
      </c>
      <c r="L154" s="7">
        <f>(D154-'Model Coefficients'!$C$20)/'Model Coefficients'!$D$20</f>
        <v/>
      </c>
      <c r="M154" s="7">
        <f>(E154-'Model Coefficients'!$C$21)/'Model Coefficients'!$D$21</f>
        <v/>
      </c>
      <c r="N154" s="7">
        <f>(F154-'Model Coefficients'!$C$22)/'Model Coefficients'!$D$22</f>
        <v/>
      </c>
      <c r="O154" s="7">
        <f>(G154-'Model Coefficients'!$C$23)/'Model Coefficients'!$D$23</f>
        <v/>
      </c>
      <c r="P154" s="7">
        <f>(H154-'Model Coefficients'!$C$24)/'Model Coefficients'!$D$24</f>
        <v/>
      </c>
      <c r="Q154" s="7">
        <f>(I154-'Model Coefficients'!$C$25)/'Model Coefficients'!$D$25</f>
        <v/>
      </c>
      <c r="R154" s="7">
        <f>'Model Coefficients'!$C$6+'Model Coefficients'!$C$7*J154+'Model Coefficients'!$C$8*K154+'Model Coefficients'!$C$9*L154+'Model Coefficients'!$C$10*M154+'Model Coefficients'!$C$11*N154+'Model Coefficients'!$C$12*O154+'Model Coefficients'!$C$13*P154+'Model Coefficients'!$C$14*Q154</f>
        <v/>
      </c>
      <c r="S154" s="8">
        <f>1/(1+EXP(-R154))</f>
        <v/>
      </c>
      <c r="T154" s="6">
        <f>IF(S154&lt;0.15,"Low Risk",IF(S154&lt;0.35,"Medium Risk","High Risk"))</f>
        <v/>
      </c>
      <c r="U154" s="6" t="inlineStr">
        <is>
          <t>Repaid</t>
        </is>
      </c>
    </row>
    <row r="155">
      <c r="A155" s="6" t="inlineStr">
        <is>
          <t>MFI-0154</t>
        </is>
      </c>
      <c r="B155" s="6" t="n">
        <v>94.26000000000001</v>
      </c>
      <c r="C155" s="6" t="n">
        <v>12</v>
      </c>
      <c r="D155" s="6" t="n">
        <v>55</v>
      </c>
      <c r="E155" s="6" t="n">
        <v>37.78</v>
      </c>
      <c r="F155" s="6" t="n">
        <v>3</v>
      </c>
      <c r="G155" s="6" t="n">
        <v>5</v>
      </c>
      <c r="H155" s="6" t="n">
        <v>0</v>
      </c>
      <c r="I155" s="6" t="n">
        <v>1</v>
      </c>
      <c r="J155" s="7">
        <f>(B155-'Model Coefficients'!$C$18)/'Model Coefficients'!$D$18</f>
        <v/>
      </c>
      <c r="K155" s="7">
        <f>(C155-'Model Coefficients'!$C$19)/'Model Coefficients'!$D$19</f>
        <v/>
      </c>
      <c r="L155" s="7">
        <f>(D155-'Model Coefficients'!$C$20)/'Model Coefficients'!$D$20</f>
        <v/>
      </c>
      <c r="M155" s="7">
        <f>(E155-'Model Coefficients'!$C$21)/'Model Coefficients'!$D$21</f>
        <v/>
      </c>
      <c r="N155" s="7">
        <f>(F155-'Model Coefficients'!$C$22)/'Model Coefficients'!$D$22</f>
        <v/>
      </c>
      <c r="O155" s="7">
        <f>(G155-'Model Coefficients'!$C$23)/'Model Coefficients'!$D$23</f>
        <v/>
      </c>
      <c r="P155" s="7">
        <f>(H155-'Model Coefficients'!$C$24)/'Model Coefficients'!$D$24</f>
        <v/>
      </c>
      <c r="Q155" s="7">
        <f>(I155-'Model Coefficients'!$C$25)/'Model Coefficients'!$D$25</f>
        <v/>
      </c>
      <c r="R155" s="7">
        <f>'Model Coefficients'!$C$6+'Model Coefficients'!$C$7*J155+'Model Coefficients'!$C$8*K155+'Model Coefficients'!$C$9*L155+'Model Coefficients'!$C$10*M155+'Model Coefficients'!$C$11*N155+'Model Coefficients'!$C$12*O155+'Model Coefficients'!$C$13*P155+'Model Coefficients'!$C$14*Q155</f>
        <v/>
      </c>
      <c r="S155" s="8">
        <f>1/(1+EXP(-R155))</f>
        <v/>
      </c>
      <c r="T155" s="6">
        <f>IF(S155&lt;0.15,"Low Risk",IF(S155&lt;0.35,"Medium Risk","High Risk"))</f>
        <v/>
      </c>
      <c r="U155" s="6" t="inlineStr">
        <is>
          <t>Repaid</t>
        </is>
      </c>
    </row>
    <row r="156">
      <c r="A156" s="6" t="inlineStr">
        <is>
          <t>MFI-0155</t>
        </is>
      </c>
      <c r="B156" s="6" t="n">
        <v>202.57</v>
      </c>
      <c r="C156" s="6" t="n">
        <v>6</v>
      </c>
      <c r="D156" s="6" t="n">
        <v>35</v>
      </c>
      <c r="E156" s="6" t="n">
        <v>99.89</v>
      </c>
      <c r="F156" s="6" t="n">
        <v>0</v>
      </c>
      <c r="G156" s="6" t="n">
        <v>3</v>
      </c>
      <c r="H156" s="6" t="n">
        <v>0</v>
      </c>
      <c r="I156" s="6" t="n">
        <v>1</v>
      </c>
      <c r="J156" s="7">
        <f>(B156-'Model Coefficients'!$C$18)/'Model Coefficients'!$D$18</f>
        <v/>
      </c>
      <c r="K156" s="7">
        <f>(C156-'Model Coefficients'!$C$19)/'Model Coefficients'!$D$19</f>
        <v/>
      </c>
      <c r="L156" s="7">
        <f>(D156-'Model Coefficients'!$C$20)/'Model Coefficients'!$D$20</f>
        <v/>
      </c>
      <c r="M156" s="7">
        <f>(E156-'Model Coefficients'!$C$21)/'Model Coefficients'!$D$21</f>
        <v/>
      </c>
      <c r="N156" s="7">
        <f>(F156-'Model Coefficients'!$C$22)/'Model Coefficients'!$D$22</f>
        <v/>
      </c>
      <c r="O156" s="7">
        <f>(G156-'Model Coefficients'!$C$23)/'Model Coefficients'!$D$23</f>
        <v/>
      </c>
      <c r="P156" s="7">
        <f>(H156-'Model Coefficients'!$C$24)/'Model Coefficients'!$D$24</f>
        <v/>
      </c>
      <c r="Q156" s="7">
        <f>(I156-'Model Coefficients'!$C$25)/'Model Coefficients'!$D$25</f>
        <v/>
      </c>
      <c r="R156" s="7">
        <f>'Model Coefficients'!$C$6+'Model Coefficients'!$C$7*J156+'Model Coefficients'!$C$8*K156+'Model Coefficients'!$C$9*L156+'Model Coefficients'!$C$10*M156+'Model Coefficients'!$C$11*N156+'Model Coefficients'!$C$12*O156+'Model Coefficients'!$C$13*P156+'Model Coefficients'!$C$14*Q156</f>
        <v/>
      </c>
      <c r="S156" s="8">
        <f>1/(1+EXP(-R156))</f>
        <v/>
      </c>
      <c r="T156" s="6">
        <f>IF(S156&lt;0.15,"Low Risk",IF(S156&lt;0.35,"Medium Risk","High Risk"))</f>
        <v/>
      </c>
      <c r="U156" s="6" t="inlineStr">
        <is>
          <t>Repaid</t>
        </is>
      </c>
    </row>
    <row r="157">
      <c r="A157" s="6" t="inlineStr">
        <is>
          <t>MFI-0156</t>
        </is>
      </c>
      <c r="B157" s="6" t="n">
        <v>279.69</v>
      </c>
      <c r="C157" s="6" t="n">
        <v>6</v>
      </c>
      <c r="D157" s="6" t="n">
        <v>20</v>
      </c>
      <c r="E157" s="6" t="n">
        <v>92.63</v>
      </c>
      <c r="F157" s="6" t="n">
        <v>1</v>
      </c>
      <c r="G157" s="6" t="n">
        <v>5</v>
      </c>
      <c r="H157" s="6" t="n">
        <v>0</v>
      </c>
      <c r="I157" s="6" t="n">
        <v>0</v>
      </c>
      <c r="J157" s="7">
        <f>(B157-'Model Coefficients'!$C$18)/'Model Coefficients'!$D$18</f>
        <v/>
      </c>
      <c r="K157" s="7">
        <f>(C157-'Model Coefficients'!$C$19)/'Model Coefficients'!$D$19</f>
        <v/>
      </c>
      <c r="L157" s="7">
        <f>(D157-'Model Coefficients'!$C$20)/'Model Coefficients'!$D$20</f>
        <v/>
      </c>
      <c r="M157" s="7">
        <f>(E157-'Model Coefficients'!$C$21)/'Model Coefficients'!$D$21</f>
        <v/>
      </c>
      <c r="N157" s="7">
        <f>(F157-'Model Coefficients'!$C$22)/'Model Coefficients'!$D$22</f>
        <v/>
      </c>
      <c r="O157" s="7">
        <f>(G157-'Model Coefficients'!$C$23)/'Model Coefficients'!$D$23</f>
        <v/>
      </c>
      <c r="P157" s="7">
        <f>(H157-'Model Coefficients'!$C$24)/'Model Coefficients'!$D$24</f>
        <v/>
      </c>
      <c r="Q157" s="7">
        <f>(I157-'Model Coefficients'!$C$25)/'Model Coefficients'!$D$25</f>
        <v/>
      </c>
      <c r="R157" s="7">
        <f>'Model Coefficients'!$C$6+'Model Coefficients'!$C$7*J157+'Model Coefficients'!$C$8*K157+'Model Coefficients'!$C$9*L157+'Model Coefficients'!$C$10*M157+'Model Coefficients'!$C$11*N157+'Model Coefficients'!$C$12*O157+'Model Coefficients'!$C$13*P157+'Model Coefficients'!$C$14*Q157</f>
        <v/>
      </c>
      <c r="S157" s="8">
        <f>1/(1+EXP(-R157))</f>
        <v/>
      </c>
      <c r="T157" s="6">
        <f>IF(S157&lt;0.15,"Low Risk",IF(S157&lt;0.35,"Medium Risk","High Risk"))</f>
        <v/>
      </c>
      <c r="U157" s="6" t="inlineStr">
        <is>
          <t>Repaid</t>
        </is>
      </c>
    </row>
    <row r="158">
      <c r="A158" s="6" t="inlineStr">
        <is>
          <t>MFI-0157</t>
        </is>
      </c>
      <c r="B158" s="6" t="n">
        <v>150.52</v>
      </c>
      <c r="C158" s="6" t="n">
        <v>6</v>
      </c>
      <c r="D158" s="6" t="n">
        <v>27</v>
      </c>
      <c r="E158" s="6" t="n">
        <v>33.8</v>
      </c>
      <c r="F158" s="6" t="n">
        <v>2</v>
      </c>
      <c r="G158" s="6" t="n">
        <v>5</v>
      </c>
      <c r="H158" s="6" t="n">
        <v>1</v>
      </c>
      <c r="I158" s="6" t="n">
        <v>0</v>
      </c>
      <c r="J158" s="7">
        <f>(B158-'Model Coefficients'!$C$18)/'Model Coefficients'!$D$18</f>
        <v/>
      </c>
      <c r="K158" s="7">
        <f>(C158-'Model Coefficients'!$C$19)/'Model Coefficients'!$D$19</f>
        <v/>
      </c>
      <c r="L158" s="7">
        <f>(D158-'Model Coefficients'!$C$20)/'Model Coefficients'!$D$20</f>
        <v/>
      </c>
      <c r="M158" s="7">
        <f>(E158-'Model Coefficients'!$C$21)/'Model Coefficients'!$D$21</f>
        <v/>
      </c>
      <c r="N158" s="7">
        <f>(F158-'Model Coefficients'!$C$22)/'Model Coefficients'!$D$22</f>
        <v/>
      </c>
      <c r="O158" s="7">
        <f>(G158-'Model Coefficients'!$C$23)/'Model Coefficients'!$D$23</f>
        <v/>
      </c>
      <c r="P158" s="7">
        <f>(H158-'Model Coefficients'!$C$24)/'Model Coefficients'!$D$24</f>
        <v/>
      </c>
      <c r="Q158" s="7">
        <f>(I158-'Model Coefficients'!$C$25)/'Model Coefficients'!$D$25</f>
        <v/>
      </c>
      <c r="R158" s="7">
        <f>'Model Coefficients'!$C$6+'Model Coefficients'!$C$7*J158+'Model Coefficients'!$C$8*K158+'Model Coefficients'!$C$9*L158+'Model Coefficients'!$C$10*M158+'Model Coefficients'!$C$11*N158+'Model Coefficients'!$C$12*O158+'Model Coefficients'!$C$13*P158+'Model Coefficients'!$C$14*Q158</f>
        <v/>
      </c>
      <c r="S158" s="8">
        <f>1/(1+EXP(-R158))</f>
        <v/>
      </c>
      <c r="T158" s="6">
        <f>IF(S158&lt;0.15,"Low Risk",IF(S158&lt;0.35,"Medium Risk","High Risk"))</f>
        <v/>
      </c>
      <c r="U158" s="6" t="inlineStr">
        <is>
          <t>Repaid</t>
        </is>
      </c>
    </row>
    <row r="159">
      <c r="A159" s="6" t="inlineStr">
        <is>
          <t>MFI-0158</t>
        </is>
      </c>
      <c r="B159" s="6" t="n">
        <v>77.98999999999999</v>
      </c>
      <c r="C159" s="6" t="n">
        <v>24</v>
      </c>
      <c r="D159" s="6" t="n">
        <v>54</v>
      </c>
      <c r="E159" s="6" t="n">
        <v>24.48</v>
      </c>
      <c r="F159" s="6" t="n">
        <v>4</v>
      </c>
      <c r="G159" s="6" t="n">
        <v>5</v>
      </c>
      <c r="H159" s="6" t="n">
        <v>0</v>
      </c>
      <c r="I159" s="6" t="n">
        <v>1</v>
      </c>
      <c r="J159" s="7">
        <f>(B159-'Model Coefficients'!$C$18)/'Model Coefficients'!$D$18</f>
        <v/>
      </c>
      <c r="K159" s="7">
        <f>(C159-'Model Coefficients'!$C$19)/'Model Coefficients'!$D$19</f>
        <v/>
      </c>
      <c r="L159" s="7">
        <f>(D159-'Model Coefficients'!$C$20)/'Model Coefficients'!$D$20</f>
        <v/>
      </c>
      <c r="M159" s="7">
        <f>(E159-'Model Coefficients'!$C$21)/'Model Coefficients'!$D$21</f>
        <v/>
      </c>
      <c r="N159" s="7">
        <f>(F159-'Model Coefficients'!$C$22)/'Model Coefficients'!$D$22</f>
        <v/>
      </c>
      <c r="O159" s="7">
        <f>(G159-'Model Coefficients'!$C$23)/'Model Coefficients'!$D$23</f>
        <v/>
      </c>
      <c r="P159" s="7">
        <f>(H159-'Model Coefficients'!$C$24)/'Model Coefficients'!$D$24</f>
        <v/>
      </c>
      <c r="Q159" s="7">
        <f>(I159-'Model Coefficients'!$C$25)/'Model Coefficients'!$D$25</f>
        <v/>
      </c>
      <c r="R159" s="7">
        <f>'Model Coefficients'!$C$6+'Model Coefficients'!$C$7*J159+'Model Coefficients'!$C$8*K159+'Model Coefficients'!$C$9*L159+'Model Coefficients'!$C$10*M159+'Model Coefficients'!$C$11*N159+'Model Coefficients'!$C$12*O159+'Model Coefficients'!$C$13*P159+'Model Coefficients'!$C$14*Q159</f>
        <v/>
      </c>
      <c r="S159" s="8">
        <f>1/(1+EXP(-R159))</f>
        <v/>
      </c>
      <c r="T159" s="6">
        <f>IF(S159&lt;0.15,"Low Risk",IF(S159&lt;0.35,"Medium Risk","High Risk"))</f>
        <v/>
      </c>
      <c r="U159" s="6" t="inlineStr">
        <is>
          <t>Defaulted</t>
        </is>
      </c>
    </row>
    <row r="160">
      <c r="A160" s="6" t="inlineStr">
        <is>
          <t>MFI-0159</t>
        </is>
      </c>
      <c r="B160" s="6" t="n">
        <v>278.36</v>
      </c>
      <c r="C160" s="6" t="n">
        <v>12</v>
      </c>
      <c r="D160" s="6" t="n">
        <v>45</v>
      </c>
      <c r="E160" s="6" t="n">
        <v>26.4</v>
      </c>
      <c r="F160" s="6" t="n">
        <v>2</v>
      </c>
      <c r="G160" s="6" t="n">
        <v>4</v>
      </c>
      <c r="H160" s="6" t="n">
        <v>1</v>
      </c>
      <c r="I160" s="6" t="n">
        <v>0</v>
      </c>
      <c r="J160" s="7">
        <f>(B160-'Model Coefficients'!$C$18)/'Model Coefficients'!$D$18</f>
        <v/>
      </c>
      <c r="K160" s="7">
        <f>(C160-'Model Coefficients'!$C$19)/'Model Coefficients'!$D$19</f>
        <v/>
      </c>
      <c r="L160" s="7">
        <f>(D160-'Model Coefficients'!$C$20)/'Model Coefficients'!$D$20</f>
        <v/>
      </c>
      <c r="M160" s="7">
        <f>(E160-'Model Coefficients'!$C$21)/'Model Coefficients'!$D$21</f>
        <v/>
      </c>
      <c r="N160" s="7">
        <f>(F160-'Model Coefficients'!$C$22)/'Model Coefficients'!$D$22</f>
        <v/>
      </c>
      <c r="O160" s="7">
        <f>(G160-'Model Coefficients'!$C$23)/'Model Coefficients'!$D$23</f>
        <v/>
      </c>
      <c r="P160" s="7">
        <f>(H160-'Model Coefficients'!$C$24)/'Model Coefficients'!$D$24</f>
        <v/>
      </c>
      <c r="Q160" s="7">
        <f>(I160-'Model Coefficients'!$C$25)/'Model Coefficients'!$D$25</f>
        <v/>
      </c>
      <c r="R160" s="7">
        <f>'Model Coefficients'!$C$6+'Model Coefficients'!$C$7*J160+'Model Coefficients'!$C$8*K160+'Model Coefficients'!$C$9*L160+'Model Coefficients'!$C$10*M160+'Model Coefficients'!$C$11*N160+'Model Coefficients'!$C$12*O160+'Model Coefficients'!$C$13*P160+'Model Coefficients'!$C$14*Q160</f>
        <v/>
      </c>
      <c r="S160" s="8">
        <f>1/(1+EXP(-R160))</f>
        <v/>
      </c>
      <c r="T160" s="6">
        <f>IF(S160&lt;0.15,"Low Risk",IF(S160&lt;0.35,"Medium Risk","High Risk"))</f>
        <v/>
      </c>
      <c r="U160" s="6" t="inlineStr">
        <is>
          <t>Defaulted</t>
        </is>
      </c>
    </row>
    <row r="161">
      <c r="A161" s="6" t="inlineStr">
        <is>
          <t>MFI-0160</t>
        </is>
      </c>
      <c r="B161" s="6" t="n">
        <v>284.84</v>
      </c>
      <c r="C161" s="6" t="n">
        <v>12</v>
      </c>
      <c r="D161" s="6" t="n">
        <v>49</v>
      </c>
      <c r="E161" s="6" t="n">
        <v>97.28</v>
      </c>
      <c r="F161" s="6" t="n">
        <v>4</v>
      </c>
      <c r="G161" s="6" t="n">
        <v>2</v>
      </c>
      <c r="H161" s="6" t="n">
        <v>1</v>
      </c>
      <c r="I161" s="6" t="n">
        <v>1</v>
      </c>
      <c r="J161" s="7">
        <f>(B161-'Model Coefficients'!$C$18)/'Model Coefficients'!$D$18</f>
        <v/>
      </c>
      <c r="K161" s="7">
        <f>(C161-'Model Coefficients'!$C$19)/'Model Coefficients'!$D$19</f>
        <v/>
      </c>
      <c r="L161" s="7">
        <f>(D161-'Model Coefficients'!$C$20)/'Model Coefficients'!$D$20</f>
        <v/>
      </c>
      <c r="M161" s="7">
        <f>(E161-'Model Coefficients'!$C$21)/'Model Coefficients'!$D$21</f>
        <v/>
      </c>
      <c r="N161" s="7">
        <f>(F161-'Model Coefficients'!$C$22)/'Model Coefficients'!$D$22</f>
        <v/>
      </c>
      <c r="O161" s="7">
        <f>(G161-'Model Coefficients'!$C$23)/'Model Coefficients'!$D$23</f>
        <v/>
      </c>
      <c r="P161" s="7">
        <f>(H161-'Model Coefficients'!$C$24)/'Model Coefficients'!$D$24</f>
        <v/>
      </c>
      <c r="Q161" s="7">
        <f>(I161-'Model Coefficients'!$C$25)/'Model Coefficients'!$D$25</f>
        <v/>
      </c>
      <c r="R161" s="7">
        <f>'Model Coefficients'!$C$6+'Model Coefficients'!$C$7*J161+'Model Coefficients'!$C$8*K161+'Model Coefficients'!$C$9*L161+'Model Coefficients'!$C$10*M161+'Model Coefficients'!$C$11*N161+'Model Coefficients'!$C$12*O161+'Model Coefficients'!$C$13*P161+'Model Coefficients'!$C$14*Q161</f>
        <v/>
      </c>
      <c r="S161" s="8">
        <f>1/(1+EXP(-R161))</f>
        <v/>
      </c>
      <c r="T161" s="6">
        <f>IF(S161&lt;0.15,"Low Risk",IF(S161&lt;0.35,"Medium Risk","High Risk"))</f>
        <v/>
      </c>
      <c r="U161" s="6" t="inlineStr">
        <is>
          <t>Repaid</t>
        </is>
      </c>
    </row>
    <row r="162">
      <c r="A162" s="6" t="inlineStr">
        <is>
          <t>MFI-0161</t>
        </is>
      </c>
      <c r="B162" s="6" t="n">
        <v>57.77</v>
      </c>
      <c r="C162" s="6" t="n">
        <v>12</v>
      </c>
      <c r="D162" s="6" t="n">
        <v>33</v>
      </c>
      <c r="E162" s="6" t="n">
        <v>113.86</v>
      </c>
      <c r="F162" s="6" t="n">
        <v>5</v>
      </c>
      <c r="G162" s="6" t="n">
        <v>2</v>
      </c>
      <c r="H162" s="6" t="n">
        <v>1</v>
      </c>
      <c r="I162" s="6" t="n">
        <v>1</v>
      </c>
      <c r="J162" s="7">
        <f>(B162-'Model Coefficients'!$C$18)/'Model Coefficients'!$D$18</f>
        <v/>
      </c>
      <c r="K162" s="7">
        <f>(C162-'Model Coefficients'!$C$19)/'Model Coefficients'!$D$19</f>
        <v/>
      </c>
      <c r="L162" s="7">
        <f>(D162-'Model Coefficients'!$C$20)/'Model Coefficients'!$D$20</f>
        <v/>
      </c>
      <c r="M162" s="7">
        <f>(E162-'Model Coefficients'!$C$21)/'Model Coefficients'!$D$21</f>
        <v/>
      </c>
      <c r="N162" s="7">
        <f>(F162-'Model Coefficients'!$C$22)/'Model Coefficients'!$D$22</f>
        <v/>
      </c>
      <c r="O162" s="7">
        <f>(G162-'Model Coefficients'!$C$23)/'Model Coefficients'!$D$23</f>
        <v/>
      </c>
      <c r="P162" s="7">
        <f>(H162-'Model Coefficients'!$C$24)/'Model Coefficients'!$D$24</f>
        <v/>
      </c>
      <c r="Q162" s="7">
        <f>(I162-'Model Coefficients'!$C$25)/'Model Coefficients'!$D$25</f>
        <v/>
      </c>
      <c r="R162" s="7">
        <f>'Model Coefficients'!$C$6+'Model Coefficients'!$C$7*J162+'Model Coefficients'!$C$8*K162+'Model Coefficients'!$C$9*L162+'Model Coefficients'!$C$10*M162+'Model Coefficients'!$C$11*N162+'Model Coefficients'!$C$12*O162+'Model Coefficients'!$C$13*P162+'Model Coefficients'!$C$14*Q162</f>
        <v/>
      </c>
      <c r="S162" s="8">
        <f>1/(1+EXP(-R162))</f>
        <v/>
      </c>
      <c r="T162" s="6">
        <f>IF(S162&lt;0.15,"Low Risk",IF(S162&lt;0.35,"Medium Risk","High Risk"))</f>
        <v/>
      </c>
      <c r="U162" s="6" t="inlineStr">
        <is>
          <t>Repaid</t>
        </is>
      </c>
    </row>
    <row r="163">
      <c r="A163" s="6" t="inlineStr">
        <is>
          <t>MFI-0162</t>
        </is>
      </c>
      <c r="B163" s="6" t="n">
        <v>271.9</v>
      </c>
      <c r="C163" s="6" t="n">
        <v>24</v>
      </c>
      <c r="D163" s="6" t="n">
        <v>45</v>
      </c>
      <c r="E163" s="6" t="n">
        <v>45.42</v>
      </c>
      <c r="F163" s="6" t="n">
        <v>0</v>
      </c>
      <c r="G163" s="6" t="n">
        <v>0</v>
      </c>
      <c r="H163" s="6" t="n">
        <v>0</v>
      </c>
      <c r="I163" s="6" t="n">
        <v>0</v>
      </c>
      <c r="J163" s="7">
        <f>(B163-'Model Coefficients'!$C$18)/'Model Coefficients'!$D$18</f>
        <v/>
      </c>
      <c r="K163" s="7">
        <f>(C163-'Model Coefficients'!$C$19)/'Model Coefficients'!$D$19</f>
        <v/>
      </c>
      <c r="L163" s="7">
        <f>(D163-'Model Coefficients'!$C$20)/'Model Coefficients'!$D$20</f>
        <v/>
      </c>
      <c r="M163" s="7">
        <f>(E163-'Model Coefficients'!$C$21)/'Model Coefficients'!$D$21</f>
        <v/>
      </c>
      <c r="N163" s="7">
        <f>(F163-'Model Coefficients'!$C$22)/'Model Coefficients'!$D$22</f>
        <v/>
      </c>
      <c r="O163" s="7">
        <f>(G163-'Model Coefficients'!$C$23)/'Model Coefficients'!$D$23</f>
        <v/>
      </c>
      <c r="P163" s="7">
        <f>(H163-'Model Coefficients'!$C$24)/'Model Coefficients'!$D$24</f>
        <v/>
      </c>
      <c r="Q163" s="7">
        <f>(I163-'Model Coefficients'!$C$25)/'Model Coefficients'!$D$25</f>
        <v/>
      </c>
      <c r="R163" s="7">
        <f>'Model Coefficients'!$C$6+'Model Coefficients'!$C$7*J163+'Model Coefficients'!$C$8*K163+'Model Coefficients'!$C$9*L163+'Model Coefficients'!$C$10*M163+'Model Coefficients'!$C$11*N163+'Model Coefficients'!$C$12*O163+'Model Coefficients'!$C$13*P163+'Model Coefficients'!$C$14*Q163</f>
        <v/>
      </c>
      <c r="S163" s="8">
        <f>1/(1+EXP(-R163))</f>
        <v/>
      </c>
      <c r="T163" s="6">
        <f>IF(S163&lt;0.15,"Low Risk",IF(S163&lt;0.35,"Medium Risk","High Risk"))</f>
        <v/>
      </c>
      <c r="U163" s="6" t="inlineStr">
        <is>
          <t>Repaid</t>
        </is>
      </c>
    </row>
    <row r="164">
      <c r="A164" s="6" t="inlineStr">
        <is>
          <t>MFI-0163</t>
        </is>
      </c>
      <c r="B164" s="6" t="n">
        <v>101.8</v>
      </c>
      <c r="C164" s="6" t="n">
        <v>18</v>
      </c>
      <c r="D164" s="6" t="n">
        <v>32</v>
      </c>
      <c r="E164" s="6" t="n">
        <v>26.47</v>
      </c>
      <c r="F164" s="6" t="n">
        <v>0</v>
      </c>
      <c r="G164" s="6" t="n">
        <v>4</v>
      </c>
      <c r="H164" s="6" t="n">
        <v>1</v>
      </c>
      <c r="I164" s="6" t="n">
        <v>1</v>
      </c>
      <c r="J164" s="7">
        <f>(B164-'Model Coefficients'!$C$18)/'Model Coefficients'!$D$18</f>
        <v/>
      </c>
      <c r="K164" s="7">
        <f>(C164-'Model Coefficients'!$C$19)/'Model Coefficients'!$D$19</f>
        <v/>
      </c>
      <c r="L164" s="7">
        <f>(D164-'Model Coefficients'!$C$20)/'Model Coefficients'!$D$20</f>
        <v/>
      </c>
      <c r="M164" s="7">
        <f>(E164-'Model Coefficients'!$C$21)/'Model Coefficients'!$D$21</f>
        <v/>
      </c>
      <c r="N164" s="7">
        <f>(F164-'Model Coefficients'!$C$22)/'Model Coefficients'!$D$22</f>
        <v/>
      </c>
      <c r="O164" s="7">
        <f>(G164-'Model Coefficients'!$C$23)/'Model Coefficients'!$D$23</f>
        <v/>
      </c>
      <c r="P164" s="7">
        <f>(H164-'Model Coefficients'!$C$24)/'Model Coefficients'!$D$24</f>
        <v/>
      </c>
      <c r="Q164" s="7">
        <f>(I164-'Model Coefficients'!$C$25)/'Model Coefficients'!$D$25</f>
        <v/>
      </c>
      <c r="R164" s="7">
        <f>'Model Coefficients'!$C$6+'Model Coefficients'!$C$7*J164+'Model Coefficients'!$C$8*K164+'Model Coefficients'!$C$9*L164+'Model Coefficients'!$C$10*M164+'Model Coefficients'!$C$11*N164+'Model Coefficients'!$C$12*O164+'Model Coefficients'!$C$13*P164+'Model Coefficients'!$C$14*Q164</f>
        <v/>
      </c>
      <c r="S164" s="8">
        <f>1/(1+EXP(-R164))</f>
        <v/>
      </c>
      <c r="T164" s="6">
        <f>IF(S164&lt;0.15,"Low Risk",IF(S164&lt;0.35,"Medium Risk","High Risk"))</f>
        <v/>
      </c>
      <c r="U164" s="6" t="inlineStr">
        <is>
          <t>Repaid</t>
        </is>
      </c>
    </row>
    <row r="165">
      <c r="A165" s="6" t="inlineStr">
        <is>
          <t>MFI-0164</t>
        </is>
      </c>
      <c r="B165" s="6" t="n">
        <v>55.89</v>
      </c>
      <c r="C165" s="6" t="n">
        <v>12</v>
      </c>
      <c r="D165" s="6" t="n">
        <v>36</v>
      </c>
      <c r="E165" s="6" t="n">
        <v>89.31</v>
      </c>
      <c r="F165" s="6" t="n">
        <v>4</v>
      </c>
      <c r="G165" s="6" t="n">
        <v>3</v>
      </c>
      <c r="H165" s="6" t="n">
        <v>0</v>
      </c>
      <c r="I165" s="6" t="n">
        <v>0</v>
      </c>
      <c r="J165" s="7">
        <f>(B165-'Model Coefficients'!$C$18)/'Model Coefficients'!$D$18</f>
        <v/>
      </c>
      <c r="K165" s="7">
        <f>(C165-'Model Coefficients'!$C$19)/'Model Coefficients'!$D$19</f>
        <v/>
      </c>
      <c r="L165" s="7">
        <f>(D165-'Model Coefficients'!$C$20)/'Model Coefficients'!$D$20</f>
        <v/>
      </c>
      <c r="M165" s="7">
        <f>(E165-'Model Coefficients'!$C$21)/'Model Coefficients'!$D$21</f>
        <v/>
      </c>
      <c r="N165" s="7">
        <f>(F165-'Model Coefficients'!$C$22)/'Model Coefficients'!$D$22</f>
        <v/>
      </c>
      <c r="O165" s="7">
        <f>(G165-'Model Coefficients'!$C$23)/'Model Coefficients'!$D$23</f>
        <v/>
      </c>
      <c r="P165" s="7">
        <f>(H165-'Model Coefficients'!$C$24)/'Model Coefficients'!$D$24</f>
        <v/>
      </c>
      <c r="Q165" s="7">
        <f>(I165-'Model Coefficients'!$C$25)/'Model Coefficients'!$D$25</f>
        <v/>
      </c>
      <c r="R165" s="7">
        <f>'Model Coefficients'!$C$6+'Model Coefficients'!$C$7*J165+'Model Coefficients'!$C$8*K165+'Model Coefficients'!$C$9*L165+'Model Coefficients'!$C$10*M165+'Model Coefficients'!$C$11*N165+'Model Coefficients'!$C$12*O165+'Model Coefficients'!$C$13*P165+'Model Coefficients'!$C$14*Q165</f>
        <v/>
      </c>
      <c r="S165" s="8">
        <f>1/(1+EXP(-R165))</f>
        <v/>
      </c>
      <c r="T165" s="6">
        <f>IF(S165&lt;0.15,"Low Risk",IF(S165&lt;0.35,"Medium Risk","High Risk"))</f>
        <v/>
      </c>
      <c r="U165" s="6" t="inlineStr">
        <is>
          <t>Repaid</t>
        </is>
      </c>
    </row>
    <row r="166">
      <c r="A166" s="6" t="inlineStr">
        <is>
          <t>MFI-0165</t>
        </is>
      </c>
      <c r="B166" s="6" t="n">
        <v>53.06</v>
      </c>
      <c r="C166" s="6" t="n">
        <v>12</v>
      </c>
      <c r="D166" s="6" t="n">
        <v>26</v>
      </c>
      <c r="E166" s="6" t="n">
        <v>69.87</v>
      </c>
      <c r="F166" s="6" t="n">
        <v>1</v>
      </c>
      <c r="G166" s="6" t="n">
        <v>5</v>
      </c>
      <c r="H166" s="6" t="n">
        <v>0</v>
      </c>
      <c r="I166" s="6" t="n">
        <v>1</v>
      </c>
      <c r="J166" s="7">
        <f>(B166-'Model Coefficients'!$C$18)/'Model Coefficients'!$D$18</f>
        <v/>
      </c>
      <c r="K166" s="7">
        <f>(C166-'Model Coefficients'!$C$19)/'Model Coefficients'!$D$19</f>
        <v/>
      </c>
      <c r="L166" s="7">
        <f>(D166-'Model Coefficients'!$C$20)/'Model Coefficients'!$D$20</f>
        <v/>
      </c>
      <c r="M166" s="7">
        <f>(E166-'Model Coefficients'!$C$21)/'Model Coefficients'!$D$21</f>
        <v/>
      </c>
      <c r="N166" s="7">
        <f>(F166-'Model Coefficients'!$C$22)/'Model Coefficients'!$D$22</f>
        <v/>
      </c>
      <c r="O166" s="7">
        <f>(G166-'Model Coefficients'!$C$23)/'Model Coefficients'!$D$23</f>
        <v/>
      </c>
      <c r="P166" s="7">
        <f>(H166-'Model Coefficients'!$C$24)/'Model Coefficients'!$D$24</f>
        <v/>
      </c>
      <c r="Q166" s="7">
        <f>(I166-'Model Coefficients'!$C$25)/'Model Coefficients'!$D$25</f>
        <v/>
      </c>
      <c r="R166" s="7">
        <f>'Model Coefficients'!$C$6+'Model Coefficients'!$C$7*J166+'Model Coefficients'!$C$8*K166+'Model Coefficients'!$C$9*L166+'Model Coefficients'!$C$10*M166+'Model Coefficients'!$C$11*N166+'Model Coefficients'!$C$12*O166+'Model Coefficients'!$C$13*P166+'Model Coefficients'!$C$14*Q166</f>
        <v/>
      </c>
      <c r="S166" s="8">
        <f>1/(1+EXP(-R166))</f>
        <v/>
      </c>
      <c r="T166" s="6">
        <f>IF(S166&lt;0.15,"Low Risk",IF(S166&lt;0.35,"Medium Risk","High Risk"))</f>
        <v/>
      </c>
      <c r="U166" s="6" t="inlineStr">
        <is>
          <t>Repaid</t>
        </is>
      </c>
    </row>
    <row r="167">
      <c r="A167" s="6" t="inlineStr">
        <is>
          <t>MFI-0166</t>
        </is>
      </c>
      <c r="B167" s="6" t="n">
        <v>232.65</v>
      </c>
      <c r="C167" s="6" t="n">
        <v>6</v>
      </c>
      <c r="D167" s="6" t="n">
        <v>44</v>
      </c>
      <c r="E167" s="6" t="n">
        <v>78.59999999999999</v>
      </c>
      <c r="F167" s="6" t="n">
        <v>1</v>
      </c>
      <c r="G167" s="6" t="n">
        <v>2</v>
      </c>
      <c r="H167" s="6" t="n">
        <v>0</v>
      </c>
      <c r="I167" s="6" t="n">
        <v>1</v>
      </c>
      <c r="J167" s="7">
        <f>(B167-'Model Coefficients'!$C$18)/'Model Coefficients'!$D$18</f>
        <v/>
      </c>
      <c r="K167" s="7">
        <f>(C167-'Model Coefficients'!$C$19)/'Model Coefficients'!$D$19</f>
        <v/>
      </c>
      <c r="L167" s="7">
        <f>(D167-'Model Coefficients'!$C$20)/'Model Coefficients'!$D$20</f>
        <v/>
      </c>
      <c r="M167" s="7">
        <f>(E167-'Model Coefficients'!$C$21)/'Model Coefficients'!$D$21</f>
        <v/>
      </c>
      <c r="N167" s="7">
        <f>(F167-'Model Coefficients'!$C$22)/'Model Coefficients'!$D$22</f>
        <v/>
      </c>
      <c r="O167" s="7">
        <f>(G167-'Model Coefficients'!$C$23)/'Model Coefficients'!$D$23</f>
        <v/>
      </c>
      <c r="P167" s="7">
        <f>(H167-'Model Coefficients'!$C$24)/'Model Coefficients'!$D$24</f>
        <v/>
      </c>
      <c r="Q167" s="7">
        <f>(I167-'Model Coefficients'!$C$25)/'Model Coefficients'!$D$25</f>
        <v/>
      </c>
      <c r="R167" s="7">
        <f>'Model Coefficients'!$C$6+'Model Coefficients'!$C$7*J167+'Model Coefficients'!$C$8*K167+'Model Coefficients'!$C$9*L167+'Model Coefficients'!$C$10*M167+'Model Coefficients'!$C$11*N167+'Model Coefficients'!$C$12*O167+'Model Coefficients'!$C$13*P167+'Model Coefficients'!$C$14*Q167</f>
        <v/>
      </c>
      <c r="S167" s="8">
        <f>1/(1+EXP(-R167))</f>
        <v/>
      </c>
      <c r="T167" s="6">
        <f>IF(S167&lt;0.15,"Low Risk",IF(S167&lt;0.35,"Medium Risk","High Risk"))</f>
        <v/>
      </c>
      <c r="U167" s="6" t="inlineStr">
        <is>
          <t>Repaid</t>
        </is>
      </c>
    </row>
    <row r="168">
      <c r="A168" s="6" t="inlineStr">
        <is>
          <t>MFI-0167</t>
        </is>
      </c>
      <c r="B168" s="6" t="n">
        <v>44.76</v>
      </c>
      <c r="C168" s="6" t="n">
        <v>6</v>
      </c>
      <c r="D168" s="6" t="n">
        <v>44</v>
      </c>
      <c r="E168" s="6" t="n">
        <v>67.69</v>
      </c>
      <c r="F168" s="6" t="n">
        <v>5</v>
      </c>
      <c r="G168" s="6" t="n">
        <v>0</v>
      </c>
      <c r="H168" s="6" t="n">
        <v>1</v>
      </c>
      <c r="I168" s="6" t="n">
        <v>1</v>
      </c>
      <c r="J168" s="7">
        <f>(B168-'Model Coefficients'!$C$18)/'Model Coefficients'!$D$18</f>
        <v/>
      </c>
      <c r="K168" s="7">
        <f>(C168-'Model Coefficients'!$C$19)/'Model Coefficients'!$D$19</f>
        <v/>
      </c>
      <c r="L168" s="7">
        <f>(D168-'Model Coefficients'!$C$20)/'Model Coefficients'!$D$20</f>
        <v/>
      </c>
      <c r="M168" s="7">
        <f>(E168-'Model Coefficients'!$C$21)/'Model Coefficients'!$D$21</f>
        <v/>
      </c>
      <c r="N168" s="7">
        <f>(F168-'Model Coefficients'!$C$22)/'Model Coefficients'!$D$22</f>
        <v/>
      </c>
      <c r="O168" s="7">
        <f>(G168-'Model Coefficients'!$C$23)/'Model Coefficients'!$D$23</f>
        <v/>
      </c>
      <c r="P168" s="7">
        <f>(H168-'Model Coefficients'!$C$24)/'Model Coefficients'!$D$24</f>
        <v/>
      </c>
      <c r="Q168" s="7">
        <f>(I168-'Model Coefficients'!$C$25)/'Model Coefficients'!$D$25</f>
        <v/>
      </c>
      <c r="R168" s="7">
        <f>'Model Coefficients'!$C$6+'Model Coefficients'!$C$7*J168+'Model Coefficients'!$C$8*K168+'Model Coefficients'!$C$9*L168+'Model Coefficients'!$C$10*M168+'Model Coefficients'!$C$11*N168+'Model Coefficients'!$C$12*O168+'Model Coefficients'!$C$13*P168+'Model Coefficients'!$C$14*Q168</f>
        <v/>
      </c>
      <c r="S168" s="8">
        <f>1/(1+EXP(-R168))</f>
        <v/>
      </c>
      <c r="T168" s="6">
        <f>IF(S168&lt;0.15,"Low Risk",IF(S168&lt;0.35,"Medium Risk","High Risk"))</f>
        <v/>
      </c>
      <c r="U168" s="6" t="inlineStr">
        <is>
          <t>Repaid</t>
        </is>
      </c>
    </row>
    <row r="169">
      <c r="A169" s="6" t="inlineStr">
        <is>
          <t>MFI-0168</t>
        </is>
      </c>
      <c r="B169" s="6" t="n">
        <v>233.68</v>
      </c>
      <c r="C169" s="6" t="n">
        <v>6</v>
      </c>
      <c r="D169" s="6" t="n">
        <v>57</v>
      </c>
      <c r="E169" s="6" t="n">
        <v>100.02</v>
      </c>
      <c r="F169" s="6" t="n">
        <v>2</v>
      </c>
      <c r="G169" s="6" t="n">
        <v>0</v>
      </c>
      <c r="H169" s="6" t="n">
        <v>1</v>
      </c>
      <c r="I169" s="6" t="n">
        <v>1</v>
      </c>
      <c r="J169" s="7">
        <f>(B169-'Model Coefficients'!$C$18)/'Model Coefficients'!$D$18</f>
        <v/>
      </c>
      <c r="K169" s="7">
        <f>(C169-'Model Coefficients'!$C$19)/'Model Coefficients'!$D$19</f>
        <v/>
      </c>
      <c r="L169" s="7">
        <f>(D169-'Model Coefficients'!$C$20)/'Model Coefficients'!$D$20</f>
        <v/>
      </c>
      <c r="M169" s="7">
        <f>(E169-'Model Coefficients'!$C$21)/'Model Coefficients'!$D$21</f>
        <v/>
      </c>
      <c r="N169" s="7">
        <f>(F169-'Model Coefficients'!$C$22)/'Model Coefficients'!$D$22</f>
        <v/>
      </c>
      <c r="O169" s="7">
        <f>(G169-'Model Coefficients'!$C$23)/'Model Coefficients'!$D$23</f>
        <v/>
      </c>
      <c r="P169" s="7">
        <f>(H169-'Model Coefficients'!$C$24)/'Model Coefficients'!$D$24</f>
        <v/>
      </c>
      <c r="Q169" s="7">
        <f>(I169-'Model Coefficients'!$C$25)/'Model Coefficients'!$D$25</f>
        <v/>
      </c>
      <c r="R169" s="7">
        <f>'Model Coefficients'!$C$6+'Model Coefficients'!$C$7*J169+'Model Coefficients'!$C$8*K169+'Model Coefficients'!$C$9*L169+'Model Coefficients'!$C$10*M169+'Model Coefficients'!$C$11*N169+'Model Coefficients'!$C$12*O169+'Model Coefficients'!$C$13*P169+'Model Coefficients'!$C$14*Q169</f>
        <v/>
      </c>
      <c r="S169" s="8">
        <f>1/(1+EXP(-R169))</f>
        <v/>
      </c>
      <c r="T169" s="6">
        <f>IF(S169&lt;0.15,"Low Risk",IF(S169&lt;0.35,"Medium Risk","High Risk"))</f>
        <v/>
      </c>
      <c r="U169" s="6" t="inlineStr">
        <is>
          <t>Repaid</t>
        </is>
      </c>
    </row>
    <row r="170">
      <c r="A170" s="6" t="inlineStr">
        <is>
          <t>MFI-0169</t>
        </is>
      </c>
      <c r="B170" s="6" t="n">
        <v>87.09</v>
      </c>
      <c r="C170" s="6" t="n">
        <v>12</v>
      </c>
      <c r="D170" s="6" t="n">
        <v>46</v>
      </c>
      <c r="E170" s="6" t="n">
        <v>76.41</v>
      </c>
      <c r="F170" s="6" t="n">
        <v>3</v>
      </c>
      <c r="G170" s="6" t="n">
        <v>4</v>
      </c>
      <c r="H170" s="6" t="n">
        <v>1</v>
      </c>
      <c r="I170" s="6" t="n">
        <v>1</v>
      </c>
      <c r="J170" s="7">
        <f>(B170-'Model Coefficients'!$C$18)/'Model Coefficients'!$D$18</f>
        <v/>
      </c>
      <c r="K170" s="7">
        <f>(C170-'Model Coefficients'!$C$19)/'Model Coefficients'!$D$19</f>
        <v/>
      </c>
      <c r="L170" s="7">
        <f>(D170-'Model Coefficients'!$C$20)/'Model Coefficients'!$D$20</f>
        <v/>
      </c>
      <c r="M170" s="7">
        <f>(E170-'Model Coefficients'!$C$21)/'Model Coefficients'!$D$21</f>
        <v/>
      </c>
      <c r="N170" s="7">
        <f>(F170-'Model Coefficients'!$C$22)/'Model Coefficients'!$D$22</f>
        <v/>
      </c>
      <c r="O170" s="7">
        <f>(G170-'Model Coefficients'!$C$23)/'Model Coefficients'!$D$23</f>
        <v/>
      </c>
      <c r="P170" s="7">
        <f>(H170-'Model Coefficients'!$C$24)/'Model Coefficients'!$D$24</f>
        <v/>
      </c>
      <c r="Q170" s="7">
        <f>(I170-'Model Coefficients'!$C$25)/'Model Coefficients'!$D$25</f>
        <v/>
      </c>
      <c r="R170" s="7">
        <f>'Model Coefficients'!$C$6+'Model Coefficients'!$C$7*J170+'Model Coefficients'!$C$8*K170+'Model Coefficients'!$C$9*L170+'Model Coefficients'!$C$10*M170+'Model Coefficients'!$C$11*N170+'Model Coefficients'!$C$12*O170+'Model Coefficients'!$C$13*P170+'Model Coefficients'!$C$14*Q170</f>
        <v/>
      </c>
      <c r="S170" s="8">
        <f>1/(1+EXP(-R170))</f>
        <v/>
      </c>
      <c r="T170" s="6">
        <f>IF(S170&lt;0.15,"Low Risk",IF(S170&lt;0.35,"Medium Risk","High Risk"))</f>
        <v/>
      </c>
      <c r="U170" s="6" t="inlineStr">
        <is>
          <t>Repaid</t>
        </is>
      </c>
    </row>
    <row r="171">
      <c r="A171" s="6" t="inlineStr">
        <is>
          <t>MFI-0170</t>
        </is>
      </c>
      <c r="B171" s="6" t="n">
        <v>137.26</v>
      </c>
      <c r="C171" s="6" t="n">
        <v>6</v>
      </c>
      <c r="D171" s="6" t="n">
        <v>23</v>
      </c>
      <c r="E171" s="6" t="n">
        <v>99.23</v>
      </c>
      <c r="F171" s="6" t="n">
        <v>1</v>
      </c>
      <c r="G171" s="6" t="n">
        <v>5</v>
      </c>
      <c r="H171" s="6" t="n">
        <v>1</v>
      </c>
      <c r="I171" s="6" t="n">
        <v>1</v>
      </c>
      <c r="J171" s="7">
        <f>(B171-'Model Coefficients'!$C$18)/'Model Coefficients'!$D$18</f>
        <v/>
      </c>
      <c r="K171" s="7">
        <f>(C171-'Model Coefficients'!$C$19)/'Model Coefficients'!$D$19</f>
        <v/>
      </c>
      <c r="L171" s="7">
        <f>(D171-'Model Coefficients'!$C$20)/'Model Coefficients'!$D$20</f>
        <v/>
      </c>
      <c r="M171" s="7">
        <f>(E171-'Model Coefficients'!$C$21)/'Model Coefficients'!$D$21</f>
        <v/>
      </c>
      <c r="N171" s="7">
        <f>(F171-'Model Coefficients'!$C$22)/'Model Coefficients'!$D$22</f>
        <v/>
      </c>
      <c r="O171" s="7">
        <f>(G171-'Model Coefficients'!$C$23)/'Model Coefficients'!$D$23</f>
        <v/>
      </c>
      <c r="P171" s="7">
        <f>(H171-'Model Coefficients'!$C$24)/'Model Coefficients'!$D$24</f>
        <v/>
      </c>
      <c r="Q171" s="7">
        <f>(I171-'Model Coefficients'!$C$25)/'Model Coefficients'!$D$25</f>
        <v/>
      </c>
      <c r="R171" s="7">
        <f>'Model Coefficients'!$C$6+'Model Coefficients'!$C$7*J171+'Model Coefficients'!$C$8*K171+'Model Coefficients'!$C$9*L171+'Model Coefficients'!$C$10*M171+'Model Coefficients'!$C$11*N171+'Model Coefficients'!$C$12*O171+'Model Coefficients'!$C$13*P171+'Model Coefficients'!$C$14*Q171</f>
        <v/>
      </c>
      <c r="S171" s="8">
        <f>1/(1+EXP(-R171))</f>
        <v/>
      </c>
      <c r="T171" s="6">
        <f>IF(S171&lt;0.15,"Low Risk",IF(S171&lt;0.35,"Medium Risk","High Risk"))</f>
        <v/>
      </c>
      <c r="U171" s="6" t="inlineStr">
        <is>
          <t>Repaid</t>
        </is>
      </c>
    </row>
    <row r="172">
      <c r="A172" s="6" t="inlineStr">
        <is>
          <t>MFI-0171</t>
        </is>
      </c>
      <c r="B172" s="6" t="n">
        <v>60.04</v>
      </c>
      <c r="C172" s="6" t="n">
        <v>24</v>
      </c>
      <c r="D172" s="6" t="n">
        <v>30</v>
      </c>
      <c r="E172" s="6" t="n">
        <v>84.06</v>
      </c>
      <c r="F172" s="6" t="n">
        <v>1</v>
      </c>
      <c r="G172" s="6" t="n">
        <v>2</v>
      </c>
      <c r="H172" s="6" t="n">
        <v>0</v>
      </c>
      <c r="I172" s="6" t="n">
        <v>1</v>
      </c>
      <c r="J172" s="7">
        <f>(B172-'Model Coefficients'!$C$18)/'Model Coefficients'!$D$18</f>
        <v/>
      </c>
      <c r="K172" s="7">
        <f>(C172-'Model Coefficients'!$C$19)/'Model Coefficients'!$D$19</f>
        <v/>
      </c>
      <c r="L172" s="7">
        <f>(D172-'Model Coefficients'!$C$20)/'Model Coefficients'!$D$20</f>
        <v/>
      </c>
      <c r="M172" s="7">
        <f>(E172-'Model Coefficients'!$C$21)/'Model Coefficients'!$D$21</f>
        <v/>
      </c>
      <c r="N172" s="7">
        <f>(F172-'Model Coefficients'!$C$22)/'Model Coefficients'!$D$22</f>
        <v/>
      </c>
      <c r="O172" s="7">
        <f>(G172-'Model Coefficients'!$C$23)/'Model Coefficients'!$D$23</f>
        <v/>
      </c>
      <c r="P172" s="7">
        <f>(H172-'Model Coefficients'!$C$24)/'Model Coefficients'!$D$24</f>
        <v/>
      </c>
      <c r="Q172" s="7">
        <f>(I172-'Model Coefficients'!$C$25)/'Model Coefficients'!$D$25</f>
        <v/>
      </c>
      <c r="R172" s="7">
        <f>'Model Coefficients'!$C$6+'Model Coefficients'!$C$7*J172+'Model Coefficients'!$C$8*K172+'Model Coefficients'!$C$9*L172+'Model Coefficients'!$C$10*M172+'Model Coefficients'!$C$11*N172+'Model Coefficients'!$C$12*O172+'Model Coefficients'!$C$13*P172+'Model Coefficients'!$C$14*Q172</f>
        <v/>
      </c>
      <c r="S172" s="8">
        <f>1/(1+EXP(-R172))</f>
        <v/>
      </c>
      <c r="T172" s="6">
        <f>IF(S172&lt;0.15,"Low Risk",IF(S172&lt;0.35,"Medium Risk","High Risk"))</f>
        <v/>
      </c>
      <c r="U172" s="6" t="inlineStr">
        <is>
          <t>Repaid</t>
        </is>
      </c>
    </row>
    <row r="173">
      <c r="A173" s="6" t="inlineStr">
        <is>
          <t>MFI-0172</t>
        </is>
      </c>
      <c r="B173" s="6" t="n">
        <v>202.75</v>
      </c>
      <c r="C173" s="6" t="n">
        <v>6</v>
      </c>
      <c r="D173" s="6" t="n">
        <v>22</v>
      </c>
      <c r="E173" s="6" t="n">
        <v>86.92</v>
      </c>
      <c r="F173" s="6" t="n">
        <v>2</v>
      </c>
      <c r="G173" s="6" t="n">
        <v>0</v>
      </c>
      <c r="H173" s="6" t="n">
        <v>1</v>
      </c>
      <c r="I173" s="6" t="n">
        <v>0</v>
      </c>
      <c r="J173" s="7">
        <f>(B173-'Model Coefficients'!$C$18)/'Model Coefficients'!$D$18</f>
        <v/>
      </c>
      <c r="K173" s="7">
        <f>(C173-'Model Coefficients'!$C$19)/'Model Coefficients'!$D$19</f>
        <v/>
      </c>
      <c r="L173" s="7">
        <f>(D173-'Model Coefficients'!$C$20)/'Model Coefficients'!$D$20</f>
        <v/>
      </c>
      <c r="M173" s="7">
        <f>(E173-'Model Coefficients'!$C$21)/'Model Coefficients'!$D$21</f>
        <v/>
      </c>
      <c r="N173" s="7">
        <f>(F173-'Model Coefficients'!$C$22)/'Model Coefficients'!$D$22</f>
        <v/>
      </c>
      <c r="O173" s="7">
        <f>(G173-'Model Coefficients'!$C$23)/'Model Coefficients'!$D$23</f>
        <v/>
      </c>
      <c r="P173" s="7">
        <f>(H173-'Model Coefficients'!$C$24)/'Model Coefficients'!$D$24</f>
        <v/>
      </c>
      <c r="Q173" s="7">
        <f>(I173-'Model Coefficients'!$C$25)/'Model Coefficients'!$D$25</f>
        <v/>
      </c>
      <c r="R173" s="7">
        <f>'Model Coefficients'!$C$6+'Model Coefficients'!$C$7*J173+'Model Coefficients'!$C$8*K173+'Model Coefficients'!$C$9*L173+'Model Coefficients'!$C$10*M173+'Model Coefficients'!$C$11*N173+'Model Coefficients'!$C$12*O173+'Model Coefficients'!$C$13*P173+'Model Coefficients'!$C$14*Q173</f>
        <v/>
      </c>
      <c r="S173" s="8">
        <f>1/(1+EXP(-R173))</f>
        <v/>
      </c>
      <c r="T173" s="6">
        <f>IF(S173&lt;0.15,"Low Risk",IF(S173&lt;0.35,"Medium Risk","High Risk"))</f>
        <v/>
      </c>
      <c r="U173" s="6" t="inlineStr">
        <is>
          <t>Repaid</t>
        </is>
      </c>
    </row>
    <row r="174">
      <c r="A174" s="6" t="inlineStr">
        <is>
          <t>MFI-0173</t>
        </is>
      </c>
      <c r="B174" s="6" t="n">
        <v>148.18</v>
      </c>
      <c r="C174" s="6" t="n">
        <v>18</v>
      </c>
      <c r="D174" s="6" t="n">
        <v>31</v>
      </c>
      <c r="E174" s="6" t="n">
        <v>92.34</v>
      </c>
      <c r="F174" s="6" t="n">
        <v>0</v>
      </c>
      <c r="G174" s="6" t="n">
        <v>0</v>
      </c>
      <c r="H174" s="6" t="n">
        <v>1</v>
      </c>
      <c r="I174" s="6" t="n">
        <v>1</v>
      </c>
      <c r="J174" s="7">
        <f>(B174-'Model Coefficients'!$C$18)/'Model Coefficients'!$D$18</f>
        <v/>
      </c>
      <c r="K174" s="7">
        <f>(C174-'Model Coefficients'!$C$19)/'Model Coefficients'!$D$19</f>
        <v/>
      </c>
      <c r="L174" s="7">
        <f>(D174-'Model Coefficients'!$C$20)/'Model Coefficients'!$D$20</f>
        <v/>
      </c>
      <c r="M174" s="7">
        <f>(E174-'Model Coefficients'!$C$21)/'Model Coefficients'!$D$21</f>
        <v/>
      </c>
      <c r="N174" s="7">
        <f>(F174-'Model Coefficients'!$C$22)/'Model Coefficients'!$D$22</f>
        <v/>
      </c>
      <c r="O174" s="7">
        <f>(G174-'Model Coefficients'!$C$23)/'Model Coefficients'!$D$23</f>
        <v/>
      </c>
      <c r="P174" s="7">
        <f>(H174-'Model Coefficients'!$C$24)/'Model Coefficients'!$D$24</f>
        <v/>
      </c>
      <c r="Q174" s="7">
        <f>(I174-'Model Coefficients'!$C$25)/'Model Coefficients'!$D$25</f>
        <v/>
      </c>
      <c r="R174" s="7">
        <f>'Model Coefficients'!$C$6+'Model Coefficients'!$C$7*J174+'Model Coefficients'!$C$8*K174+'Model Coefficients'!$C$9*L174+'Model Coefficients'!$C$10*M174+'Model Coefficients'!$C$11*N174+'Model Coefficients'!$C$12*O174+'Model Coefficients'!$C$13*P174+'Model Coefficients'!$C$14*Q174</f>
        <v/>
      </c>
      <c r="S174" s="8">
        <f>1/(1+EXP(-R174))</f>
        <v/>
      </c>
      <c r="T174" s="6">
        <f>IF(S174&lt;0.15,"Low Risk",IF(S174&lt;0.35,"Medium Risk","High Risk"))</f>
        <v/>
      </c>
      <c r="U174" s="6" t="inlineStr">
        <is>
          <t>Repaid</t>
        </is>
      </c>
    </row>
    <row r="175">
      <c r="A175" s="6" t="inlineStr">
        <is>
          <t>MFI-0174</t>
        </is>
      </c>
      <c r="B175" s="6" t="n">
        <v>130.27</v>
      </c>
      <c r="C175" s="6" t="n">
        <v>12</v>
      </c>
      <c r="D175" s="6" t="n">
        <v>33</v>
      </c>
      <c r="E175" s="6" t="n">
        <v>75.70999999999999</v>
      </c>
      <c r="F175" s="6" t="n">
        <v>1</v>
      </c>
      <c r="G175" s="6" t="n">
        <v>3</v>
      </c>
      <c r="H175" s="6" t="n">
        <v>1</v>
      </c>
      <c r="I175" s="6" t="n">
        <v>0</v>
      </c>
      <c r="J175" s="7">
        <f>(B175-'Model Coefficients'!$C$18)/'Model Coefficients'!$D$18</f>
        <v/>
      </c>
      <c r="K175" s="7">
        <f>(C175-'Model Coefficients'!$C$19)/'Model Coefficients'!$D$19</f>
        <v/>
      </c>
      <c r="L175" s="7">
        <f>(D175-'Model Coefficients'!$C$20)/'Model Coefficients'!$D$20</f>
        <v/>
      </c>
      <c r="M175" s="7">
        <f>(E175-'Model Coefficients'!$C$21)/'Model Coefficients'!$D$21</f>
        <v/>
      </c>
      <c r="N175" s="7">
        <f>(F175-'Model Coefficients'!$C$22)/'Model Coefficients'!$D$22</f>
        <v/>
      </c>
      <c r="O175" s="7">
        <f>(G175-'Model Coefficients'!$C$23)/'Model Coefficients'!$D$23</f>
        <v/>
      </c>
      <c r="P175" s="7">
        <f>(H175-'Model Coefficients'!$C$24)/'Model Coefficients'!$D$24</f>
        <v/>
      </c>
      <c r="Q175" s="7">
        <f>(I175-'Model Coefficients'!$C$25)/'Model Coefficients'!$D$25</f>
        <v/>
      </c>
      <c r="R175" s="7">
        <f>'Model Coefficients'!$C$6+'Model Coefficients'!$C$7*J175+'Model Coefficients'!$C$8*K175+'Model Coefficients'!$C$9*L175+'Model Coefficients'!$C$10*M175+'Model Coefficients'!$C$11*N175+'Model Coefficients'!$C$12*O175+'Model Coefficients'!$C$13*P175+'Model Coefficients'!$C$14*Q175</f>
        <v/>
      </c>
      <c r="S175" s="8">
        <f>1/(1+EXP(-R175))</f>
        <v/>
      </c>
      <c r="T175" s="6">
        <f>IF(S175&lt;0.15,"Low Risk",IF(S175&lt;0.35,"Medium Risk","High Risk"))</f>
        <v/>
      </c>
      <c r="U175" s="6" t="inlineStr">
        <is>
          <t>Repaid</t>
        </is>
      </c>
    </row>
    <row r="176">
      <c r="A176" s="6" t="inlineStr">
        <is>
          <t>MFI-0175</t>
        </is>
      </c>
      <c r="B176" s="6" t="n">
        <v>245.31</v>
      </c>
      <c r="C176" s="6" t="n">
        <v>6</v>
      </c>
      <c r="D176" s="6" t="n">
        <v>57</v>
      </c>
      <c r="E176" s="6" t="n">
        <v>52.77</v>
      </c>
      <c r="F176" s="6" t="n">
        <v>5</v>
      </c>
      <c r="G176" s="6" t="n">
        <v>4</v>
      </c>
      <c r="H176" s="6" t="n">
        <v>0</v>
      </c>
      <c r="I176" s="6" t="n">
        <v>1</v>
      </c>
      <c r="J176" s="7">
        <f>(B176-'Model Coefficients'!$C$18)/'Model Coefficients'!$D$18</f>
        <v/>
      </c>
      <c r="K176" s="7">
        <f>(C176-'Model Coefficients'!$C$19)/'Model Coefficients'!$D$19</f>
        <v/>
      </c>
      <c r="L176" s="7">
        <f>(D176-'Model Coefficients'!$C$20)/'Model Coefficients'!$D$20</f>
        <v/>
      </c>
      <c r="M176" s="7">
        <f>(E176-'Model Coefficients'!$C$21)/'Model Coefficients'!$D$21</f>
        <v/>
      </c>
      <c r="N176" s="7">
        <f>(F176-'Model Coefficients'!$C$22)/'Model Coefficients'!$D$22</f>
        <v/>
      </c>
      <c r="O176" s="7">
        <f>(G176-'Model Coefficients'!$C$23)/'Model Coefficients'!$D$23</f>
        <v/>
      </c>
      <c r="P176" s="7">
        <f>(H176-'Model Coefficients'!$C$24)/'Model Coefficients'!$D$24</f>
        <v/>
      </c>
      <c r="Q176" s="7">
        <f>(I176-'Model Coefficients'!$C$25)/'Model Coefficients'!$D$25</f>
        <v/>
      </c>
      <c r="R176" s="7">
        <f>'Model Coefficients'!$C$6+'Model Coefficients'!$C$7*J176+'Model Coefficients'!$C$8*K176+'Model Coefficients'!$C$9*L176+'Model Coefficients'!$C$10*M176+'Model Coefficients'!$C$11*N176+'Model Coefficients'!$C$12*O176+'Model Coefficients'!$C$13*P176+'Model Coefficients'!$C$14*Q176</f>
        <v/>
      </c>
      <c r="S176" s="8">
        <f>1/(1+EXP(-R176))</f>
        <v/>
      </c>
      <c r="T176" s="6">
        <f>IF(S176&lt;0.15,"Low Risk",IF(S176&lt;0.35,"Medium Risk","High Risk"))</f>
        <v/>
      </c>
      <c r="U176" s="6" t="inlineStr">
        <is>
          <t>Defaulted</t>
        </is>
      </c>
    </row>
    <row r="177">
      <c r="A177" s="6" t="inlineStr">
        <is>
          <t>MFI-0176</t>
        </is>
      </c>
      <c r="B177" s="6" t="n">
        <v>148.52</v>
      </c>
      <c r="C177" s="6" t="n">
        <v>6</v>
      </c>
      <c r="D177" s="6" t="n">
        <v>24</v>
      </c>
      <c r="E177" s="6" t="n">
        <v>56.61</v>
      </c>
      <c r="F177" s="6" t="n">
        <v>4</v>
      </c>
      <c r="G177" s="6" t="n">
        <v>1</v>
      </c>
      <c r="H177" s="6" t="n">
        <v>1</v>
      </c>
      <c r="I177" s="6" t="n">
        <v>1</v>
      </c>
      <c r="J177" s="7">
        <f>(B177-'Model Coefficients'!$C$18)/'Model Coefficients'!$D$18</f>
        <v/>
      </c>
      <c r="K177" s="7">
        <f>(C177-'Model Coefficients'!$C$19)/'Model Coefficients'!$D$19</f>
        <v/>
      </c>
      <c r="L177" s="7">
        <f>(D177-'Model Coefficients'!$C$20)/'Model Coefficients'!$D$20</f>
        <v/>
      </c>
      <c r="M177" s="7">
        <f>(E177-'Model Coefficients'!$C$21)/'Model Coefficients'!$D$21</f>
        <v/>
      </c>
      <c r="N177" s="7">
        <f>(F177-'Model Coefficients'!$C$22)/'Model Coefficients'!$D$22</f>
        <v/>
      </c>
      <c r="O177" s="7">
        <f>(G177-'Model Coefficients'!$C$23)/'Model Coefficients'!$D$23</f>
        <v/>
      </c>
      <c r="P177" s="7">
        <f>(H177-'Model Coefficients'!$C$24)/'Model Coefficients'!$D$24</f>
        <v/>
      </c>
      <c r="Q177" s="7">
        <f>(I177-'Model Coefficients'!$C$25)/'Model Coefficients'!$D$25</f>
        <v/>
      </c>
      <c r="R177" s="7">
        <f>'Model Coefficients'!$C$6+'Model Coefficients'!$C$7*J177+'Model Coefficients'!$C$8*K177+'Model Coefficients'!$C$9*L177+'Model Coefficients'!$C$10*M177+'Model Coefficients'!$C$11*N177+'Model Coefficients'!$C$12*O177+'Model Coefficients'!$C$13*P177+'Model Coefficients'!$C$14*Q177</f>
        <v/>
      </c>
      <c r="S177" s="8">
        <f>1/(1+EXP(-R177))</f>
        <v/>
      </c>
      <c r="T177" s="6">
        <f>IF(S177&lt;0.15,"Low Risk",IF(S177&lt;0.35,"Medium Risk","High Risk"))</f>
        <v/>
      </c>
      <c r="U177" s="6" t="inlineStr">
        <is>
          <t>Repaid</t>
        </is>
      </c>
    </row>
    <row r="178">
      <c r="A178" s="6" t="inlineStr">
        <is>
          <t>MFI-0177</t>
        </is>
      </c>
      <c r="B178" s="6" t="n">
        <v>213.64</v>
      </c>
      <c r="C178" s="6" t="n">
        <v>12</v>
      </c>
      <c r="D178" s="6" t="n">
        <v>40</v>
      </c>
      <c r="E178" s="6" t="n">
        <v>17.34</v>
      </c>
      <c r="F178" s="6" t="n">
        <v>3</v>
      </c>
      <c r="G178" s="6" t="n">
        <v>1</v>
      </c>
      <c r="H178" s="6" t="n">
        <v>1</v>
      </c>
      <c r="I178" s="6" t="n">
        <v>1</v>
      </c>
      <c r="J178" s="7">
        <f>(B178-'Model Coefficients'!$C$18)/'Model Coefficients'!$D$18</f>
        <v/>
      </c>
      <c r="K178" s="7">
        <f>(C178-'Model Coefficients'!$C$19)/'Model Coefficients'!$D$19</f>
        <v/>
      </c>
      <c r="L178" s="7">
        <f>(D178-'Model Coefficients'!$C$20)/'Model Coefficients'!$D$20</f>
        <v/>
      </c>
      <c r="M178" s="7">
        <f>(E178-'Model Coefficients'!$C$21)/'Model Coefficients'!$D$21</f>
        <v/>
      </c>
      <c r="N178" s="7">
        <f>(F178-'Model Coefficients'!$C$22)/'Model Coefficients'!$D$22</f>
        <v/>
      </c>
      <c r="O178" s="7">
        <f>(G178-'Model Coefficients'!$C$23)/'Model Coefficients'!$D$23</f>
        <v/>
      </c>
      <c r="P178" s="7">
        <f>(H178-'Model Coefficients'!$C$24)/'Model Coefficients'!$D$24</f>
        <v/>
      </c>
      <c r="Q178" s="7">
        <f>(I178-'Model Coefficients'!$C$25)/'Model Coefficients'!$D$25</f>
        <v/>
      </c>
      <c r="R178" s="7">
        <f>'Model Coefficients'!$C$6+'Model Coefficients'!$C$7*J178+'Model Coefficients'!$C$8*K178+'Model Coefficients'!$C$9*L178+'Model Coefficients'!$C$10*M178+'Model Coefficients'!$C$11*N178+'Model Coefficients'!$C$12*O178+'Model Coefficients'!$C$13*P178+'Model Coefficients'!$C$14*Q178</f>
        <v/>
      </c>
      <c r="S178" s="8">
        <f>1/(1+EXP(-R178))</f>
        <v/>
      </c>
      <c r="T178" s="6">
        <f>IF(S178&lt;0.15,"Low Risk",IF(S178&lt;0.35,"Medium Risk","High Risk"))</f>
        <v/>
      </c>
      <c r="U178" s="6" t="inlineStr">
        <is>
          <t>Defaulted</t>
        </is>
      </c>
    </row>
    <row r="179">
      <c r="A179" s="6" t="inlineStr">
        <is>
          <t>MFI-0178</t>
        </is>
      </c>
      <c r="B179" s="6" t="n">
        <v>238.96</v>
      </c>
      <c r="C179" s="6" t="n">
        <v>24</v>
      </c>
      <c r="D179" s="6" t="n">
        <v>56</v>
      </c>
      <c r="E179" s="6" t="n">
        <v>18.9</v>
      </c>
      <c r="F179" s="6" t="n">
        <v>3</v>
      </c>
      <c r="G179" s="6" t="n">
        <v>2</v>
      </c>
      <c r="H179" s="6" t="n">
        <v>0</v>
      </c>
      <c r="I179" s="6" t="n">
        <v>0</v>
      </c>
      <c r="J179" s="7">
        <f>(B179-'Model Coefficients'!$C$18)/'Model Coefficients'!$D$18</f>
        <v/>
      </c>
      <c r="K179" s="7">
        <f>(C179-'Model Coefficients'!$C$19)/'Model Coefficients'!$D$19</f>
        <v/>
      </c>
      <c r="L179" s="7">
        <f>(D179-'Model Coefficients'!$C$20)/'Model Coefficients'!$D$20</f>
        <v/>
      </c>
      <c r="M179" s="7">
        <f>(E179-'Model Coefficients'!$C$21)/'Model Coefficients'!$D$21</f>
        <v/>
      </c>
      <c r="N179" s="7">
        <f>(F179-'Model Coefficients'!$C$22)/'Model Coefficients'!$D$22</f>
        <v/>
      </c>
      <c r="O179" s="7">
        <f>(G179-'Model Coefficients'!$C$23)/'Model Coefficients'!$D$23</f>
        <v/>
      </c>
      <c r="P179" s="7">
        <f>(H179-'Model Coefficients'!$C$24)/'Model Coefficients'!$D$24</f>
        <v/>
      </c>
      <c r="Q179" s="7">
        <f>(I179-'Model Coefficients'!$C$25)/'Model Coefficients'!$D$25</f>
        <v/>
      </c>
      <c r="R179" s="7">
        <f>'Model Coefficients'!$C$6+'Model Coefficients'!$C$7*J179+'Model Coefficients'!$C$8*K179+'Model Coefficients'!$C$9*L179+'Model Coefficients'!$C$10*M179+'Model Coefficients'!$C$11*N179+'Model Coefficients'!$C$12*O179+'Model Coefficients'!$C$13*P179+'Model Coefficients'!$C$14*Q179</f>
        <v/>
      </c>
      <c r="S179" s="8">
        <f>1/(1+EXP(-R179))</f>
        <v/>
      </c>
      <c r="T179" s="6">
        <f>IF(S179&lt;0.15,"Low Risk",IF(S179&lt;0.35,"Medium Risk","High Risk"))</f>
        <v/>
      </c>
      <c r="U179" s="6" t="inlineStr">
        <is>
          <t>Defaulted</t>
        </is>
      </c>
    </row>
    <row r="180">
      <c r="A180" s="6" t="inlineStr">
        <is>
          <t>MFI-0179</t>
        </is>
      </c>
      <c r="B180" s="6" t="n">
        <v>192.17</v>
      </c>
      <c r="C180" s="6" t="n">
        <v>18</v>
      </c>
      <c r="D180" s="6" t="n">
        <v>32</v>
      </c>
      <c r="E180" s="6" t="n">
        <v>63.81</v>
      </c>
      <c r="F180" s="6" t="n">
        <v>2</v>
      </c>
      <c r="G180" s="6" t="n">
        <v>4</v>
      </c>
      <c r="H180" s="6" t="n">
        <v>0</v>
      </c>
      <c r="I180" s="6" t="n">
        <v>1</v>
      </c>
      <c r="J180" s="7">
        <f>(B180-'Model Coefficients'!$C$18)/'Model Coefficients'!$D$18</f>
        <v/>
      </c>
      <c r="K180" s="7">
        <f>(C180-'Model Coefficients'!$C$19)/'Model Coefficients'!$D$19</f>
        <v/>
      </c>
      <c r="L180" s="7">
        <f>(D180-'Model Coefficients'!$C$20)/'Model Coefficients'!$D$20</f>
        <v/>
      </c>
      <c r="M180" s="7">
        <f>(E180-'Model Coefficients'!$C$21)/'Model Coefficients'!$D$21</f>
        <v/>
      </c>
      <c r="N180" s="7">
        <f>(F180-'Model Coefficients'!$C$22)/'Model Coefficients'!$D$22</f>
        <v/>
      </c>
      <c r="O180" s="7">
        <f>(G180-'Model Coefficients'!$C$23)/'Model Coefficients'!$D$23</f>
        <v/>
      </c>
      <c r="P180" s="7">
        <f>(H180-'Model Coefficients'!$C$24)/'Model Coefficients'!$D$24</f>
        <v/>
      </c>
      <c r="Q180" s="7">
        <f>(I180-'Model Coefficients'!$C$25)/'Model Coefficients'!$D$25</f>
        <v/>
      </c>
      <c r="R180" s="7">
        <f>'Model Coefficients'!$C$6+'Model Coefficients'!$C$7*J180+'Model Coefficients'!$C$8*K180+'Model Coefficients'!$C$9*L180+'Model Coefficients'!$C$10*M180+'Model Coefficients'!$C$11*N180+'Model Coefficients'!$C$12*O180+'Model Coefficients'!$C$13*P180+'Model Coefficients'!$C$14*Q180</f>
        <v/>
      </c>
      <c r="S180" s="8">
        <f>1/(1+EXP(-R180))</f>
        <v/>
      </c>
      <c r="T180" s="6">
        <f>IF(S180&lt;0.15,"Low Risk",IF(S180&lt;0.35,"Medium Risk","High Risk"))</f>
        <v/>
      </c>
      <c r="U180" s="6" t="inlineStr">
        <is>
          <t>Repaid</t>
        </is>
      </c>
    </row>
    <row r="181">
      <c r="A181" s="6" t="inlineStr">
        <is>
          <t>MFI-0180</t>
        </is>
      </c>
      <c r="B181" s="6" t="n">
        <v>289.19</v>
      </c>
      <c r="C181" s="6" t="n">
        <v>18</v>
      </c>
      <c r="D181" s="6" t="n">
        <v>51</v>
      </c>
      <c r="E181" s="6" t="n">
        <v>99.20999999999999</v>
      </c>
      <c r="F181" s="6" t="n">
        <v>5</v>
      </c>
      <c r="G181" s="6" t="n">
        <v>2</v>
      </c>
      <c r="H181" s="6" t="n">
        <v>0</v>
      </c>
      <c r="I181" s="6" t="n">
        <v>1</v>
      </c>
      <c r="J181" s="7">
        <f>(B181-'Model Coefficients'!$C$18)/'Model Coefficients'!$D$18</f>
        <v/>
      </c>
      <c r="K181" s="7">
        <f>(C181-'Model Coefficients'!$C$19)/'Model Coefficients'!$D$19</f>
        <v/>
      </c>
      <c r="L181" s="7">
        <f>(D181-'Model Coefficients'!$C$20)/'Model Coefficients'!$D$20</f>
        <v/>
      </c>
      <c r="M181" s="7">
        <f>(E181-'Model Coefficients'!$C$21)/'Model Coefficients'!$D$21</f>
        <v/>
      </c>
      <c r="N181" s="7">
        <f>(F181-'Model Coefficients'!$C$22)/'Model Coefficients'!$D$22</f>
        <v/>
      </c>
      <c r="O181" s="7">
        <f>(G181-'Model Coefficients'!$C$23)/'Model Coefficients'!$D$23</f>
        <v/>
      </c>
      <c r="P181" s="7">
        <f>(H181-'Model Coefficients'!$C$24)/'Model Coefficients'!$D$24</f>
        <v/>
      </c>
      <c r="Q181" s="7">
        <f>(I181-'Model Coefficients'!$C$25)/'Model Coefficients'!$D$25</f>
        <v/>
      </c>
      <c r="R181" s="7">
        <f>'Model Coefficients'!$C$6+'Model Coefficients'!$C$7*J181+'Model Coefficients'!$C$8*K181+'Model Coefficients'!$C$9*L181+'Model Coefficients'!$C$10*M181+'Model Coefficients'!$C$11*N181+'Model Coefficients'!$C$12*O181+'Model Coefficients'!$C$13*P181+'Model Coefficients'!$C$14*Q181</f>
        <v/>
      </c>
      <c r="S181" s="8">
        <f>1/(1+EXP(-R181))</f>
        <v/>
      </c>
      <c r="T181" s="6">
        <f>IF(S181&lt;0.15,"Low Risk",IF(S181&lt;0.35,"Medium Risk","High Risk"))</f>
        <v/>
      </c>
      <c r="U181" s="6" t="inlineStr">
        <is>
          <t>Repaid</t>
        </is>
      </c>
    </row>
    <row r="182">
      <c r="A182" s="6" t="inlineStr">
        <is>
          <t>MFI-0181</t>
        </is>
      </c>
      <c r="B182" s="6" t="n">
        <v>174.25</v>
      </c>
      <c r="C182" s="6" t="n">
        <v>18</v>
      </c>
      <c r="D182" s="6" t="n">
        <v>33</v>
      </c>
      <c r="E182" s="6" t="n">
        <v>89.26000000000001</v>
      </c>
      <c r="F182" s="6" t="n">
        <v>2</v>
      </c>
      <c r="G182" s="6" t="n">
        <v>3</v>
      </c>
      <c r="H182" s="6" t="n">
        <v>0</v>
      </c>
      <c r="I182" s="6" t="n">
        <v>1</v>
      </c>
      <c r="J182" s="7">
        <f>(B182-'Model Coefficients'!$C$18)/'Model Coefficients'!$D$18</f>
        <v/>
      </c>
      <c r="K182" s="7">
        <f>(C182-'Model Coefficients'!$C$19)/'Model Coefficients'!$D$19</f>
        <v/>
      </c>
      <c r="L182" s="7">
        <f>(D182-'Model Coefficients'!$C$20)/'Model Coefficients'!$D$20</f>
        <v/>
      </c>
      <c r="M182" s="7">
        <f>(E182-'Model Coefficients'!$C$21)/'Model Coefficients'!$D$21</f>
        <v/>
      </c>
      <c r="N182" s="7">
        <f>(F182-'Model Coefficients'!$C$22)/'Model Coefficients'!$D$22</f>
        <v/>
      </c>
      <c r="O182" s="7">
        <f>(G182-'Model Coefficients'!$C$23)/'Model Coefficients'!$D$23</f>
        <v/>
      </c>
      <c r="P182" s="7">
        <f>(H182-'Model Coefficients'!$C$24)/'Model Coefficients'!$D$24</f>
        <v/>
      </c>
      <c r="Q182" s="7">
        <f>(I182-'Model Coefficients'!$C$25)/'Model Coefficients'!$D$25</f>
        <v/>
      </c>
      <c r="R182" s="7">
        <f>'Model Coefficients'!$C$6+'Model Coefficients'!$C$7*J182+'Model Coefficients'!$C$8*K182+'Model Coefficients'!$C$9*L182+'Model Coefficients'!$C$10*M182+'Model Coefficients'!$C$11*N182+'Model Coefficients'!$C$12*O182+'Model Coefficients'!$C$13*P182+'Model Coefficients'!$C$14*Q182</f>
        <v/>
      </c>
      <c r="S182" s="8">
        <f>1/(1+EXP(-R182))</f>
        <v/>
      </c>
      <c r="T182" s="6">
        <f>IF(S182&lt;0.15,"Low Risk",IF(S182&lt;0.35,"Medium Risk","High Risk"))</f>
        <v/>
      </c>
      <c r="U182" s="6" t="inlineStr">
        <is>
          <t>Repaid</t>
        </is>
      </c>
    </row>
    <row r="183">
      <c r="A183" s="6" t="inlineStr">
        <is>
          <t>MFI-0182</t>
        </is>
      </c>
      <c r="B183" s="6" t="n">
        <v>81.31999999999999</v>
      </c>
      <c r="C183" s="6" t="n">
        <v>12</v>
      </c>
      <c r="D183" s="6" t="n">
        <v>26</v>
      </c>
      <c r="E183" s="6" t="n">
        <v>55.41</v>
      </c>
      <c r="F183" s="6" t="n">
        <v>0</v>
      </c>
      <c r="G183" s="6" t="n">
        <v>3</v>
      </c>
      <c r="H183" s="6" t="n">
        <v>0</v>
      </c>
      <c r="I183" s="6" t="n">
        <v>0</v>
      </c>
      <c r="J183" s="7">
        <f>(B183-'Model Coefficients'!$C$18)/'Model Coefficients'!$D$18</f>
        <v/>
      </c>
      <c r="K183" s="7">
        <f>(C183-'Model Coefficients'!$C$19)/'Model Coefficients'!$D$19</f>
        <v/>
      </c>
      <c r="L183" s="7">
        <f>(D183-'Model Coefficients'!$C$20)/'Model Coefficients'!$D$20</f>
        <v/>
      </c>
      <c r="M183" s="7">
        <f>(E183-'Model Coefficients'!$C$21)/'Model Coefficients'!$D$21</f>
        <v/>
      </c>
      <c r="N183" s="7">
        <f>(F183-'Model Coefficients'!$C$22)/'Model Coefficients'!$D$22</f>
        <v/>
      </c>
      <c r="O183" s="7">
        <f>(G183-'Model Coefficients'!$C$23)/'Model Coefficients'!$D$23</f>
        <v/>
      </c>
      <c r="P183" s="7">
        <f>(H183-'Model Coefficients'!$C$24)/'Model Coefficients'!$D$24</f>
        <v/>
      </c>
      <c r="Q183" s="7">
        <f>(I183-'Model Coefficients'!$C$25)/'Model Coefficients'!$D$25</f>
        <v/>
      </c>
      <c r="R183" s="7">
        <f>'Model Coefficients'!$C$6+'Model Coefficients'!$C$7*J183+'Model Coefficients'!$C$8*K183+'Model Coefficients'!$C$9*L183+'Model Coefficients'!$C$10*M183+'Model Coefficients'!$C$11*N183+'Model Coefficients'!$C$12*O183+'Model Coefficients'!$C$13*P183+'Model Coefficients'!$C$14*Q183</f>
        <v/>
      </c>
      <c r="S183" s="8">
        <f>1/(1+EXP(-R183))</f>
        <v/>
      </c>
      <c r="T183" s="6">
        <f>IF(S183&lt;0.15,"Low Risk",IF(S183&lt;0.35,"Medium Risk","High Risk"))</f>
        <v/>
      </c>
      <c r="U183" s="6" t="inlineStr">
        <is>
          <t>Repaid</t>
        </is>
      </c>
    </row>
    <row r="184">
      <c r="A184" s="6" t="inlineStr">
        <is>
          <t>MFI-0183</t>
        </is>
      </c>
      <c r="B184" s="6" t="n">
        <v>171.73</v>
      </c>
      <c r="C184" s="6" t="n">
        <v>18</v>
      </c>
      <c r="D184" s="6" t="n">
        <v>43</v>
      </c>
      <c r="E184" s="6" t="n">
        <v>65.34999999999999</v>
      </c>
      <c r="F184" s="6" t="n">
        <v>0</v>
      </c>
      <c r="G184" s="6" t="n">
        <v>3</v>
      </c>
      <c r="H184" s="6" t="n">
        <v>1</v>
      </c>
      <c r="I184" s="6" t="n">
        <v>1</v>
      </c>
      <c r="J184" s="7">
        <f>(B184-'Model Coefficients'!$C$18)/'Model Coefficients'!$D$18</f>
        <v/>
      </c>
      <c r="K184" s="7">
        <f>(C184-'Model Coefficients'!$C$19)/'Model Coefficients'!$D$19</f>
        <v/>
      </c>
      <c r="L184" s="7">
        <f>(D184-'Model Coefficients'!$C$20)/'Model Coefficients'!$D$20</f>
        <v/>
      </c>
      <c r="M184" s="7">
        <f>(E184-'Model Coefficients'!$C$21)/'Model Coefficients'!$D$21</f>
        <v/>
      </c>
      <c r="N184" s="7">
        <f>(F184-'Model Coefficients'!$C$22)/'Model Coefficients'!$D$22</f>
        <v/>
      </c>
      <c r="O184" s="7">
        <f>(G184-'Model Coefficients'!$C$23)/'Model Coefficients'!$D$23</f>
        <v/>
      </c>
      <c r="P184" s="7">
        <f>(H184-'Model Coefficients'!$C$24)/'Model Coefficients'!$D$24</f>
        <v/>
      </c>
      <c r="Q184" s="7">
        <f>(I184-'Model Coefficients'!$C$25)/'Model Coefficients'!$D$25</f>
        <v/>
      </c>
      <c r="R184" s="7">
        <f>'Model Coefficients'!$C$6+'Model Coefficients'!$C$7*J184+'Model Coefficients'!$C$8*K184+'Model Coefficients'!$C$9*L184+'Model Coefficients'!$C$10*M184+'Model Coefficients'!$C$11*N184+'Model Coefficients'!$C$12*O184+'Model Coefficients'!$C$13*P184+'Model Coefficients'!$C$14*Q184</f>
        <v/>
      </c>
      <c r="S184" s="8">
        <f>1/(1+EXP(-R184))</f>
        <v/>
      </c>
      <c r="T184" s="6">
        <f>IF(S184&lt;0.15,"Low Risk",IF(S184&lt;0.35,"Medium Risk","High Risk"))</f>
        <v/>
      </c>
      <c r="U184" s="6" t="inlineStr">
        <is>
          <t>Repaid</t>
        </is>
      </c>
    </row>
    <row r="185">
      <c r="A185" s="6" t="inlineStr">
        <is>
          <t>MFI-0184</t>
        </is>
      </c>
      <c r="B185" s="6" t="n">
        <v>88.48</v>
      </c>
      <c r="C185" s="6" t="n">
        <v>24</v>
      </c>
      <c r="D185" s="6" t="n">
        <v>34</v>
      </c>
      <c r="E185" s="6" t="n">
        <v>103</v>
      </c>
      <c r="F185" s="6" t="n">
        <v>3</v>
      </c>
      <c r="G185" s="6" t="n">
        <v>3</v>
      </c>
      <c r="H185" s="6" t="n">
        <v>1</v>
      </c>
      <c r="I185" s="6" t="n">
        <v>1</v>
      </c>
      <c r="J185" s="7">
        <f>(B185-'Model Coefficients'!$C$18)/'Model Coefficients'!$D$18</f>
        <v/>
      </c>
      <c r="K185" s="7">
        <f>(C185-'Model Coefficients'!$C$19)/'Model Coefficients'!$D$19</f>
        <v/>
      </c>
      <c r="L185" s="7">
        <f>(D185-'Model Coefficients'!$C$20)/'Model Coefficients'!$D$20</f>
        <v/>
      </c>
      <c r="M185" s="7">
        <f>(E185-'Model Coefficients'!$C$21)/'Model Coefficients'!$D$21</f>
        <v/>
      </c>
      <c r="N185" s="7">
        <f>(F185-'Model Coefficients'!$C$22)/'Model Coefficients'!$D$22</f>
        <v/>
      </c>
      <c r="O185" s="7">
        <f>(G185-'Model Coefficients'!$C$23)/'Model Coefficients'!$D$23</f>
        <v/>
      </c>
      <c r="P185" s="7">
        <f>(H185-'Model Coefficients'!$C$24)/'Model Coefficients'!$D$24</f>
        <v/>
      </c>
      <c r="Q185" s="7">
        <f>(I185-'Model Coefficients'!$C$25)/'Model Coefficients'!$D$25</f>
        <v/>
      </c>
      <c r="R185" s="7">
        <f>'Model Coefficients'!$C$6+'Model Coefficients'!$C$7*J185+'Model Coefficients'!$C$8*K185+'Model Coefficients'!$C$9*L185+'Model Coefficients'!$C$10*M185+'Model Coefficients'!$C$11*N185+'Model Coefficients'!$C$12*O185+'Model Coefficients'!$C$13*P185+'Model Coefficients'!$C$14*Q185</f>
        <v/>
      </c>
      <c r="S185" s="8">
        <f>1/(1+EXP(-R185))</f>
        <v/>
      </c>
      <c r="T185" s="6">
        <f>IF(S185&lt;0.15,"Low Risk",IF(S185&lt;0.35,"Medium Risk","High Risk"))</f>
        <v/>
      </c>
      <c r="U185" s="6" t="inlineStr">
        <is>
          <t>Repaid</t>
        </is>
      </c>
    </row>
    <row r="186">
      <c r="A186" s="6" t="inlineStr">
        <is>
          <t>MFI-0185</t>
        </is>
      </c>
      <c r="B186" s="6" t="n">
        <v>43.33</v>
      </c>
      <c r="C186" s="6" t="n">
        <v>18</v>
      </c>
      <c r="D186" s="6" t="n">
        <v>20</v>
      </c>
      <c r="E186" s="6" t="n">
        <v>97.70999999999999</v>
      </c>
      <c r="F186" s="6" t="n">
        <v>0</v>
      </c>
      <c r="G186" s="6" t="n">
        <v>0</v>
      </c>
      <c r="H186" s="6" t="n">
        <v>1</v>
      </c>
      <c r="I186" s="6" t="n">
        <v>1</v>
      </c>
      <c r="J186" s="7">
        <f>(B186-'Model Coefficients'!$C$18)/'Model Coefficients'!$D$18</f>
        <v/>
      </c>
      <c r="K186" s="7">
        <f>(C186-'Model Coefficients'!$C$19)/'Model Coefficients'!$D$19</f>
        <v/>
      </c>
      <c r="L186" s="7">
        <f>(D186-'Model Coefficients'!$C$20)/'Model Coefficients'!$D$20</f>
        <v/>
      </c>
      <c r="M186" s="7">
        <f>(E186-'Model Coefficients'!$C$21)/'Model Coefficients'!$D$21</f>
        <v/>
      </c>
      <c r="N186" s="7">
        <f>(F186-'Model Coefficients'!$C$22)/'Model Coefficients'!$D$22</f>
        <v/>
      </c>
      <c r="O186" s="7">
        <f>(G186-'Model Coefficients'!$C$23)/'Model Coefficients'!$D$23</f>
        <v/>
      </c>
      <c r="P186" s="7">
        <f>(H186-'Model Coefficients'!$C$24)/'Model Coefficients'!$D$24</f>
        <v/>
      </c>
      <c r="Q186" s="7">
        <f>(I186-'Model Coefficients'!$C$25)/'Model Coefficients'!$D$25</f>
        <v/>
      </c>
      <c r="R186" s="7">
        <f>'Model Coefficients'!$C$6+'Model Coefficients'!$C$7*J186+'Model Coefficients'!$C$8*K186+'Model Coefficients'!$C$9*L186+'Model Coefficients'!$C$10*M186+'Model Coefficients'!$C$11*N186+'Model Coefficients'!$C$12*O186+'Model Coefficients'!$C$13*P186+'Model Coefficients'!$C$14*Q186</f>
        <v/>
      </c>
      <c r="S186" s="8">
        <f>1/(1+EXP(-R186))</f>
        <v/>
      </c>
      <c r="T186" s="6">
        <f>IF(S186&lt;0.15,"Low Risk",IF(S186&lt;0.35,"Medium Risk","High Risk"))</f>
        <v/>
      </c>
      <c r="U186" s="6" t="inlineStr">
        <is>
          <t>Repaid</t>
        </is>
      </c>
    </row>
    <row r="187">
      <c r="A187" s="6" t="inlineStr">
        <is>
          <t>MFI-0186</t>
        </is>
      </c>
      <c r="B187" s="6" t="n">
        <v>231.78</v>
      </c>
      <c r="C187" s="6" t="n">
        <v>18</v>
      </c>
      <c r="D187" s="6" t="n">
        <v>36</v>
      </c>
      <c r="E187" s="6" t="n">
        <v>79.06999999999999</v>
      </c>
      <c r="F187" s="6" t="n">
        <v>2</v>
      </c>
      <c r="G187" s="6" t="n">
        <v>2</v>
      </c>
      <c r="H187" s="6" t="n">
        <v>0</v>
      </c>
      <c r="I187" s="6" t="n">
        <v>0</v>
      </c>
      <c r="J187" s="7">
        <f>(B187-'Model Coefficients'!$C$18)/'Model Coefficients'!$D$18</f>
        <v/>
      </c>
      <c r="K187" s="7">
        <f>(C187-'Model Coefficients'!$C$19)/'Model Coefficients'!$D$19</f>
        <v/>
      </c>
      <c r="L187" s="7">
        <f>(D187-'Model Coefficients'!$C$20)/'Model Coefficients'!$D$20</f>
        <v/>
      </c>
      <c r="M187" s="7">
        <f>(E187-'Model Coefficients'!$C$21)/'Model Coefficients'!$D$21</f>
        <v/>
      </c>
      <c r="N187" s="7">
        <f>(F187-'Model Coefficients'!$C$22)/'Model Coefficients'!$D$22</f>
        <v/>
      </c>
      <c r="O187" s="7">
        <f>(G187-'Model Coefficients'!$C$23)/'Model Coefficients'!$D$23</f>
        <v/>
      </c>
      <c r="P187" s="7">
        <f>(H187-'Model Coefficients'!$C$24)/'Model Coefficients'!$D$24</f>
        <v/>
      </c>
      <c r="Q187" s="7">
        <f>(I187-'Model Coefficients'!$C$25)/'Model Coefficients'!$D$25</f>
        <v/>
      </c>
      <c r="R187" s="7">
        <f>'Model Coefficients'!$C$6+'Model Coefficients'!$C$7*J187+'Model Coefficients'!$C$8*K187+'Model Coefficients'!$C$9*L187+'Model Coefficients'!$C$10*M187+'Model Coefficients'!$C$11*N187+'Model Coefficients'!$C$12*O187+'Model Coefficients'!$C$13*P187+'Model Coefficients'!$C$14*Q187</f>
        <v/>
      </c>
      <c r="S187" s="8">
        <f>1/(1+EXP(-R187))</f>
        <v/>
      </c>
      <c r="T187" s="6">
        <f>IF(S187&lt;0.15,"Low Risk",IF(S187&lt;0.35,"Medium Risk","High Risk"))</f>
        <v/>
      </c>
      <c r="U187" s="6" t="inlineStr">
        <is>
          <t>Repaid</t>
        </is>
      </c>
    </row>
    <row r="188">
      <c r="A188" s="6" t="inlineStr">
        <is>
          <t>MFI-0187</t>
        </is>
      </c>
      <c r="B188" s="6" t="n">
        <v>94.06</v>
      </c>
      <c r="C188" s="6" t="n">
        <v>6</v>
      </c>
      <c r="D188" s="6" t="n">
        <v>35</v>
      </c>
      <c r="E188" s="6" t="n">
        <v>104.15</v>
      </c>
      <c r="F188" s="6" t="n">
        <v>5</v>
      </c>
      <c r="G188" s="6" t="n">
        <v>3</v>
      </c>
      <c r="H188" s="6" t="n">
        <v>1</v>
      </c>
      <c r="I188" s="6" t="n">
        <v>0</v>
      </c>
      <c r="J188" s="7">
        <f>(B188-'Model Coefficients'!$C$18)/'Model Coefficients'!$D$18</f>
        <v/>
      </c>
      <c r="K188" s="7">
        <f>(C188-'Model Coefficients'!$C$19)/'Model Coefficients'!$D$19</f>
        <v/>
      </c>
      <c r="L188" s="7">
        <f>(D188-'Model Coefficients'!$C$20)/'Model Coefficients'!$D$20</f>
        <v/>
      </c>
      <c r="M188" s="7">
        <f>(E188-'Model Coefficients'!$C$21)/'Model Coefficients'!$D$21</f>
        <v/>
      </c>
      <c r="N188" s="7">
        <f>(F188-'Model Coefficients'!$C$22)/'Model Coefficients'!$D$22</f>
        <v/>
      </c>
      <c r="O188" s="7">
        <f>(G188-'Model Coefficients'!$C$23)/'Model Coefficients'!$D$23</f>
        <v/>
      </c>
      <c r="P188" s="7">
        <f>(H188-'Model Coefficients'!$C$24)/'Model Coefficients'!$D$24</f>
        <v/>
      </c>
      <c r="Q188" s="7">
        <f>(I188-'Model Coefficients'!$C$25)/'Model Coefficients'!$D$25</f>
        <v/>
      </c>
      <c r="R188" s="7">
        <f>'Model Coefficients'!$C$6+'Model Coefficients'!$C$7*J188+'Model Coefficients'!$C$8*K188+'Model Coefficients'!$C$9*L188+'Model Coefficients'!$C$10*M188+'Model Coefficients'!$C$11*N188+'Model Coefficients'!$C$12*O188+'Model Coefficients'!$C$13*P188+'Model Coefficients'!$C$14*Q188</f>
        <v/>
      </c>
      <c r="S188" s="8">
        <f>1/(1+EXP(-R188))</f>
        <v/>
      </c>
      <c r="T188" s="6">
        <f>IF(S188&lt;0.15,"Low Risk",IF(S188&lt;0.35,"Medium Risk","High Risk"))</f>
        <v/>
      </c>
      <c r="U188" s="6" t="inlineStr">
        <is>
          <t>Defaulted</t>
        </is>
      </c>
    </row>
    <row r="189">
      <c r="A189" s="6" t="inlineStr">
        <is>
          <t>MFI-0188</t>
        </is>
      </c>
      <c r="B189" s="6" t="n">
        <v>107.82</v>
      </c>
      <c r="C189" s="6" t="n">
        <v>18</v>
      </c>
      <c r="D189" s="6" t="n">
        <v>58</v>
      </c>
      <c r="E189" s="6" t="n">
        <v>117.82</v>
      </c>
      <c r="F189" s="6" t="n">
        <v>2</v>
      </c>
      <c r="G189" s="6" t="n">
        <v>0</v>
      </c>
      <c r="H189" s="6" t="n">
        <v>1</v>
      </c>
      <c r="I189" s="6" t="n">
        <v>1</v>
      </c>
      <c r="J189" s="7">
        <f>(B189-'Model Coefficients'!$C$18)/'Model Coefficients'!$D$18</f>
        <v/>
      </c>
      <c r="K189" s="7">
        <f>(C189-'Model Coefficients'!$C$19)/'Model Coefficients'!$D$19</f>
        <v/>
      </c>
      <c r="L189" s="7">
        <f>(D189-'Model Coefficients'!$C$20)/'Model Coefficients'!$D$20</f>
        <v/>
      </c>
      <c r="M189" s="7">
        <f>(E189-'Model Coefficients'!$C$21)/'Model Coefficients'!$D$21</f>
        <v/>
      </c>
      <c r="N189" s="7">
        <f>(F189-'Model Coefficients'!$C$22)/'Model Coefficients'!$D$22</f>
        <v/>
      </c>
      <c r="O189" s="7">
        <f>(G189-'Model Coefficients'!$C$23)/'Model Coefficients'!$D$23</f>
        <v/>
      </c>
      <c r="P189" s="7">
        <f>(H189-'Model Coefficients'!$C$24)/'Model Coefficients'!$D$24</f>
        <v/>
      </c>
      <c r="Q189" s="7">
        <f>(I189-'Model Coefficients'!$C$25)/'Model Coefficients'!$D$25</f>
        <v/>
      </c>
      <c r="R189" s="7">
        <f>'Model Coefficients'!$C$6+'Model Coefficients'!$C$7*J189+'Model Coefficients'!$C$8*K189+'Model Coefficients'!$C$9*L189+'Model Coefficients'!$C$10*M189+'Model Coefficients'!$C$11*N189+'Model Coefficients'!$C$12*O189+'Model Coefficients'!$C$13*P189+'Model Coefficients'!$C$14*Q189</f>
        <v/>
      </c>
      <c r="S189" s="8">
        <f>1/(1+EXP(-R189))</f>
        <v/>
      </c>
      <c r="T189" s="6">
        <f>IF(S189&lt;0.15,"Low Risk",IF(S189&lt;0.35,"Medium Risk","High Risk"))</f>
        <v/>
      </c>
      <c r="U189" s="6" t="inlineStr">
        <is>
          <t>Repaid</t>
        </is>
      </c>
    </row>
    <row r="190">
      <c r="A190" s="6" t="inlineStr">
        <is>
          <t>MFI-0189</t>
        </is>
      </c>
      <c r="B190" s="6" t="n">
        <v>296.74</v>
      </c>
      <c r="C190" s="6" t="n">
        <v>6</v>
      </c>
      <c r="D190" s="6" t="n">
        <v>54</v>
      </c>
      <c r="E190" s="6" t="n">
        <v>80.41</v>
      </c>
      <c r="F190" s="6" t="n">
        <v>3</v>
      </c>
      <c r="G190" s="6" t="n">
        <v>4</v>
      </c>
      <c r="H190" s="6" t="n">
        <v>0</v>
      </c>
      <c r="I190" s="6" t="n">
        <v>0</v>
      </c>
      <c r="J190" s="7">
        <f>(B190-'Model Coefficients'!$C$18)/'Model Coefficients'!$D$18</f>
        <v/>
      </c>
      <c r="K190" s="7">
        <f>(C190-'Model Coefficients'!$C$19)/'Model Coefficients'!$D$19</f>
        <v/>
      </c>
      <c r="L190" s="7">
        <f>(D190-'Model Coefficients'!$C$20)/'Model Coefficients'!$D$20</f>
        <v/>
      </c>
      <c r="M190" s="7">
        <f>(E190-'Model Coefficients'!$C$21)/'Model Coefficients'!$D$21</f>
        <v/>
      </c>
      <c r="N190" s="7">
        <f>(F190-'Model Coefficients'!$C$22)/'Model Coefficients'!$D$22</f>
        <v/>
      </c>
      <c r="O190" s="7">
        <f>(G190-'Model Coefficients'!$C$23)/'Model Coefficients'!$D$23</f>
        <v/>
      </c>
      <c r="P190" s="7">
        <f>(H190-'Model Coefficients'!$C$24)/'Model Coefficients'!$D$24</f>
        <v/>
      </c>
      <c r="Q190" s="7">
        <f>(I190-'Model Coefficients'!$C$25)/'Model Coefficients'!$D$25</f>
        <v/>
      </c>
      <c r="R190" s="7">
        <f>'Model Coefficients'!$C$6+'Model Coefficients'!$C$7*J190+'Model Coefficients'!$C$8*K190+'Model Coefficients'!$C$9*L190+'Model Coefficients'!$C$10*M190+'Model Coefficients'!$C$11*N190+'Model Coefficients'!$C$12*O190+'Model Coefficients'!$C$13*P190+'Model Coefficients'!$C$14*Q190</f>
        <v/>
      </c>
      <c r="S190" s="8">
        <f>1/(1+EXP(-R190))</f>
        <v/>
      </c>
      <c r="T190" s="6">
        <f>IF(S190&lt;0.15,"Low Risk",IF(S190&lt;0.35,"Medium Risk","High Risk"))</f>
        <v/>
      </c>
      <c r="U190" s="6" t="inlineStr">
        <is>
          <t>Defaulted</t>
        </is>
      </c>
    </row>
    <row r="191">
      <c r="A191" s="6" t="inlineStr">
        <is>
          <t>MFI-0190</t>
        </is>
      </c>
      <c r="B191" s="6" t="n">
        <v>132.16</v>
      </c>
      <c r="C191" s="6" t="n">
        <v>18</v>
      </c>
      <c r="D191" s="6" t="n">
        <v>33</v>
      </c>
      <c r="E191" s="6" t="n">
        <v>116.84</v>
      </c>
      <c r="F191" s="6" t="n">
        <v>4</v>
      </c>
      <c r="G191" s="6" t="n">
        <v>0</v>
      </c>
      <c r="H191" s="6" t="n">
        <v>0</v>
      </c>
      <c r="I191" s="6" t="n">
        <v>1</v>
      </c>
      <c r="J191" s="7">
        <f>(B191-'Model Coefficients'!$C$18)/'Model Coefficients'!$D$18</f>
        <v/>
      </c>
      <c r="K191" s="7">
        <f>(C191-'Model Coefficients'!$C$19)/'Model Coefficients'!$D$19</f>
        <v/>
      </c>
      <c r="L191" s="7">
        <f>(D191-'Model Coefficients'!$C$20)/'Model Coefficients'!$D$20</f>
        <v/>
      </c>
      <c r="M191" s="7">
        <f>(E191-'Model Coefficients'!$C$21)/'Model Coefficients'!$D$21</f>
        <v/>
      </c>
      <c r="N191" s="7">
        <f>(F191-'Model Coefficients'!$C$22)/'Model Coefficients'!$D$22</f>
        <v/>
      </c>
      <c r="O191" s="7">
        <f>(G191-'Model Coefficients'!$C$23)/'Model Coefficients'!$D$23</f>
        <v/>
      </c>
      <c r="P191" s="7">
        <f>(H191-'Model Coefficients'!$C$24)/'Model Coefficients'!$D$24</f>
        <v/>
      </c>
      <c r="Q191" s="7">
        <f>(I191-'Model Coefficients'!$C$25)/'Model Coefficients'!$D$25</f>
        <v/>
      </c>
      <c r="R191" s="7">
        <f>'Model Coefficients'!$C$6+'Model Coefficients'!$C$7*J191+'Model Coefficients'!$C$8*K191+'Model Coefficients'!$C$9*L191+'Model Coefficients'!$C$10*M191+'Model Coefficients'!$C$11*N191+'Model Coefficients'!$C$12*O191+'Model Coefficients'!$C$13*P191+'Model Coefficients'!$C$14*Q191</f>
        <v/>
      </c>
      <c r="S191" s="8">
        <f>1/(1+EXP(-R191))</f>
        <v/>
      </c>
      <c r="T191" s="6">
        <f>IF(S191&lt;0.15,"Low Risk",IF(S191&lt;0.35,"Medium Risk","High Risk"))</f>
        <v/>
      </c>
      <c r="U191" s="6" t="inlineStr">
        <is>
          <t>Repaid</t>
        </is>
      </c>
    </row>
    <row r="192">
      <c r="A192" s="6" t="inlineStr">
        <is>
          <t>MFI-0191</t>
        </is>
      </c>
      <c r="B192" s="6" t="n">
        <v>143.57</v>
      </c>
      <c r="C192" s="6" t="n">
        <v>24</v>
      </c>
      <c r="D192" s="6" t="n">
        <v>49</v>
      </c>
      <c r="E192" s="6" t="n">
        <v>23.19</v>
      </c>
      <c r="F192" s="6" t="n">
        <v>2</v>
      </c>
      <c r="G192" s="6" t="n">
        <v>0</v>
      </c>
      <c r="H192" s="6" t="n">
        <v>1</v>
      </c>
      <c r="I192" s="6" t="n">
        <v>0</v>
      </c>
      <c r="J192" s="7">
        <f>(B192-'Model Coefficients'!$C$18)/'Model Coefficients'!$D$18</f>
        <v/>
      </c>
      <c r="K192" s="7">
        <f>(C192-'Model Coefficients'!$C$19)/'Model Coefficients'!$D$19</f>
        <v/>
      </c>
      <c r="L192" s="7">
        <f>(D192-'Model Coefficients'!$C$20)/'Model Coefficients'!$D$20</f>
        <v/>
      </c>
      <c r="M192" s="7">
        <f>(E192-'Model Coefficients'!$C$21)/'Model Coefficients'!$D$21</f>
        <v/>
      </c>
      <c r="N192" s="7">
        <f>(F192-'Model Coefficients'!$C$22)/'Model Coefficients'!$D$22</f>
        <v/>
      </c>
      <c r="O192" s="7">
        <f>(G192-'Model Coefficients'!$C$23)/'Model Coefficients'!$D$23</f>
        <v/>
      </c>
      <c r="P192" s="7">
        <f>(H192-'Model Coefficients'!$C$24)/'Model Coefficients'!$D$24</f>
        <v/>
      </c>
      <c r="Q192" s="7">
        <f>(I192-'Model Coefficients'!$C$25)/'Model Coefficients'!$D$25</f>
        <v/>
      </c>
      <c r="R192" s="7">
        <f>'Model Coefficients'!$C$6+'Model Coefficients'!$C$7*J192+'Model Coefficients'!$C$8*K192+'Model Coefficients'!$C$9*L192+'Model Coefficients'!$C$10*M192+'Model Coefficients'!$C$11*N192+'Model Coefficients'!$C$12*O192+'Model Coefficients'!$C$13*P192+'Model Coefficients'!$C$14*Q192</f>
        <v/>
      </c>
      <c r="S192" s="8">
        <f>1/(1+EXP(-R192))</f>
        <v/>
      </c>
      <c r="T192" s="6">
        <f>IF(S192&lt;0.15,"Low Risk",IF(S192&lt;0.35,"Medium Risk","High Risk"))</f>
        <v/>
      </c>
      <c r="U192" s="6" t="inlineStr">
        <is>
          <t>Defaulted</t>
        </is>
      </c>
    </row>
    <row r="193">
      <c r="A193" s="6" t="inlineStr">
        <is>
          <t>MFI-0192</t>
        </is>
      </c>
      <c r="B193" s="6" t="n">
        <v>277.77</v>
      </c>
      <c r="C193" s="6" t="n">
        <v>12</v>
      </c>
      <c r="D193" s="6" t="n">
        <v>39</v>
      </c>
      <c r="E193" s="6" t="n">
        <v>96.45999999999999</v>
      </c>
      <c r="F193" s="6" t="n">
        <v>2</v>
      </c>
      <c r="G193" s="6" t="n">
        <v>3</v>
      </c>
      <c r="H193" s="6" t="n">
        <v>0</v>
      </c>
      <c r="I193" s="6" t="n">
        <v>1</v>
      </c>
      <c r="J193" s="7">
        <f>(B193-'Model Coefficients'!$C$18)/'Model Coefficients'!$D$18</f>
        <v/>
      </c>
      <c r="K193" s="7">
        <f>(C193-'Model Coefficients'!$C$19)/'Model Coefficients'!$D$19</f>
        <v/>
      </c>
      <c r="L193" s="7">
        <f>(D193-'Model Coefficients'!$C$20)/'Model Coefficients'!$D$20</f>
        <v/>
      </c>
      <c r="M193" s="7">
        <f>(E193-'Model Coefficients'!$C$21)/'Model Coefficients'!$D$21</f>
        <v/>
      </c>
      <c r="N193" s="7">
        <f>(F193-'Model Coefficients'!$C$22)/'Model Coefficients'!$D$22</f>
        <v/>
      </c>
      <c r="O193" s="7">
        <f>(G193-'Model Coefficients'!$C$23)/'Model Coefficients'!$D$23</f>
        <v/>
      </c>
      <c r="P193" s="7">
        <f>(H193-'Model Coefficients'!$C$24)/'Model Coefficients'!$D$24</f>
        <v/>
      </c>
      <c r="Q193" s="7">
        <f>(I193-'Model Coefficients'!$C$25)/'Model Coefficients'!$D$25</f>
        <v/>
      </c>
      <c r="R193" s="7">
        <f>'Model Coefficients'!$C$6+'Model Coefficients'!$C$7*J193+'Model Coefficients'!$C$8*K193+'Model Coefficients'!$C$9*L193+'Model Coefficients'!$C$10*M193+'Model Coefficients'!$C$11*N193+'Model Coefficients'!$C$12*O193+'Model Coefficients'!$C$13*P193+'Model Coefficients'!$C$14*Q193</f>
        <v/>
      </c>
      <c r="S193" s="8">
        <f>1/(1+EXP(-R193))</f>
        <v/>
      </c>
      <c r="T193" s="6">
        <f>IF(S193&lt;0.15,"Low Risk",IF(S193&lt;0.35,"Medium Risk","High Risk"))</f>
        <v/>
      </c>
      <c r="U193" s="6" t="inlineStr">
        <is>
          <t>Repaid</t>
        </is>
      </c>
    </row>
    <row r="194">
      <c r="A194" s="6" t="inlineStr">
        <is>
          <t>MFI-0193</t>
        </is>
      </c>
      <c r="B194" s="6" t="n">
        <v>241.22</v>
      </c>
      <c r="C194" s="6" t="n">
        <v>18</v>
      </c>
      <c r="D194" s="6" t="n">
        <v>56</v>
      </c>
      <c r="E194" s="6" t="n">
        <v>25.09</v>
      </c>
      <c r="F194" s="6" t="n">
        <v>0</v>
      </c>
      <c r="G194" s="6" t="n">
        <v>3</v>
      </c>
      <c r="H194" s="6" t="n">
        <v>0</v>
      </c>
      <c r="I194" s="6" t="n">
        <v>0</v>
      </c>
      <c r="J194" s="7">
        <f>(B194-'Model Coefficients'!$C$18)/'Model Coefficients'!$D$18</f>
        <v/>
      </c>
      <c r="K194" s="7">
        <f>(C194-'Model Coefficients'!$C$19)/'Model Coefficients'!$D$19</f>
        <v/>
      </c>
      <c r="L194" s="7">
        <f>(D194-'Model Coefficients'!$C$20)/'Model Coefficients'!$D$20</f>
        <v/>
      </c>
      <c r="M194" s="7">
        <f>(E194-'Model Coefficients'!$C$21)/'Model Coefficients'!$D$21</f>
        <v/>
      </c>
      <c r="N194" s="7">
        <f>(F194-'Model Coefficients'!$C$22)/'Model Coefficients'!$D$22</f>
        <v/>
      </c>
      <c r="O194" s="7">
        <f>(G194-'Model Coefficients'!$C$23)/'Model Coefficients'!$D$23</f>
        <v/>
      </c>
      <c r="P194" s="7">
        <f>(H194-'Model Coefficients'!$C$24)/'Model Coefficients'!$D$24</f>
        <v/>
      </c>
      <c r="Q194" s="7">
        <f>(I194-'Model Coefficients'!$C$25)/'Model Coefficients'!$D$25</f>
        <v/>
      </c>
      <c r="R194" s="7">
        <f>'Model Coefficients'!$C$6+'Model Coefficients'!$C$7*J194+'Model Coefficients'!$C$8*K194+'Model Coefficients'!$C$9*L194+'Model Coefficients'!$C$10*M194+'Model Coefficients'!$C$11*N194+'Model Coefficients'!$C$12*O194+'Model Coefficients'!$C$13*P194+'Model Coefficients'!$C$14*Q194</f>
        <v/>
      </c>
      <c r="S194" s="8">
        <f>1/(1+EXP(-R194))</f>
        <v/>
      </c>
      <c r="T194" s="6">
        <f>IF(S194&lt;0.15,"Low Risk",IF(S194&lt;0.35,"Medium Risk","High Risk"))</f>
        <v/>
      </c>
      <c r="U194" s="6" t="inlineStr">
        <is>
          <t>Defaulted</t>
        </is>
      </c>
    </row>
    <row r="195">
      <c r="A195" s="6" t="inlineStr">
        <is>
          <t>MFI-0194</t>
        </is>
      </c>
      <c r="B195" s="6" t="n">
        <v>260.65</v>
      </c>
      <c r="C195" s="6" t="n">
        <v>12</v>
      </c>
      <c r="D195" s="6" t="n">
        <v>41</v>
      </c>
      <c r="E195" s="6" t="n">
        <v>38.28</v>
      </c>
      <c r="F195" s="6" t="n">
        <v>4</v>
      </c>
      <c r="G195" s="6" t="n">
        <v>3</v>
      </c>
      <c r="H195" s="6" t="n">
        <v>1</v>
      </c>
      <c r="I195" s="6" t="n">
        <v>0</v>
      </c>
      <c r="J195" s="7">
        <f>(B195-'Model Coefficients'!$C$18)/'Model Coefficients'!$D$18</f>
        <v/>
      </c>
      <c r="K195" s="7">
        <f>(C195-'Model Coefficients'!$C$19)/'Model Coefficients'!$D$19</f>
        <v/>
      </c>
      <c r="L195" s="7">
        <f>(D195-'Model Coefficients'!$C$20)/'Model Coefficients'!$D$20</f>
        <v/>
      </c>
      <c r="M195" s="7">
        <f>(E195-'Model Coefficients'!$C$21)/'Model Coefficients'!$D$21</f>
        <v/>
      </c>
      <c r="N195" s="7">
        <f>(F195-'Model Coefficients'!$C$22)/'Model Coefficients'!$D$22</f>
        <v/>
      </c>
      <c r="O195" s="7">
        <f>(G195-'Model Coefficients'!$C$23)/'Model Coefficients'!$D$23</f>
        <v/>
      </c>
      <c r="P195" s="7">
        <f>(H195-'Model Coefficients'!$C$24)/'Model Coefficients'!$D$24</f>
        <v/>
      </c>
      <c r="Q195" s="7">
        <f>(I195-'Model Coefficients'!$C$25)/'Model Coefficients'!$D$25</f>
        <v/>
      </c>
      <c r="R195" s="7">
        <f>'Model Coefficients'!$C$6+'Model Coefficients'!$C$7*J195+'Model Coefficients'!$C$8*K195+'Model Coefficients'!$C$9*L195+'Model Coefficients'!$C$10*M195+'Model Coefficients'!$C$11*N195+'Model Coefficients'!$C$12*O195+'Model Coefficients'!$C$13*P195+'Model Coefficients'!$C$14*Q195</f>
        <v/>
      </c>
      <c r="S195" s="8">
        <f>1/(1+EXP(-R195))</f>
        <v/>
      </c>
      <c r="T195" s="6">
        <f>IF(S195&lt;0.15,"Low Risk",IF(S195&lt;0.35,"Medium Risk","High Risk"))</f>
        <v/>
      </c>
      <c r="U195" s="6" t="inlineStr">
        <is>
          <t>Defaulted</t>
        </is>
      </c>
    </row>
    <row r="196">
      <c r="A196" s="6" t="inlineStr">
        <is>
          <t>MFI-0195</t>
        </is>
      </c>
      <c r="B196" s="6" t="n">
        <v>151.14</v>
      </c>
      <c r="C196" s="6" t="n">
        <v>24</v>
      </c>
      <c r="D196" s="6" t="n">
        <v>23</v>
      </c>
      <c r="E196" s="6" t="n">
        <v>50.61</v>
      </c>
      <c r="F196" s="6" t="n">
        <v>0</v>
      </c>
      <c r="G196" s="6" t="n">
        <v>3</v>
      </c>
      <c r="H196" s="6" t="n">
        <v>1</v>
      </c>
      <c r="I196" s="6" t="n">
        <v>0</v>
      </c>
      <c r="J196" s="7">
        <f>(B196-'Model Coefficients'!$C$18)/'Model Coefficients'!$D$18</f>
        <v/>
      </c>
      <c r="K196" s="7">
        <f>(C196-'Model Coefficients'!$C$19)/'Model Coefficients'!$D$19</f>
        <v/>
      </c>
      <c r="L196" s="7">
        <f>(D196-'Model Coefficients'!$C$20)/'Model Coefficients'!$D$20</f>
        <v/>
      </c>
      <c r="M196" s="7">
        <f>(E196-'Model Coefficients'!$C$21)/'Model Coefficients'!$D$21</f>
        <v/>
      </c>
      <c r="N196" s="7">
        <f>(F196-'Model Coefficients'!$C$22)/'Model Coefficients'!$D$22</f>
        <v/>
      </c>
      <c r="O196" s="7">
        <f>(G196-'Model Coefficients'!$C$23)/'Model Coefficients'!$D$23</f>
        <v/>
      </c>
      <c r="P196" s="7">
        <f>(H196-'Model Coefficients'!$C$24)/'Model Coefficients'!$D$24</f>
        <v/>
      </c>
      <c r="Q196" s="7">
        <f>(I196-'Model Coefficients'!$C$25)/'Model Coefficients'!$D$25</f>
        <v/>
      </c>
      <c r="R196" s="7">
        <f>'Model Coefficients'!$C$6+'Model Coefficients'!$C$7*J196+'Model Coefficients'!$C$8*K196+'Model Coefficients'!$C$9*L196+'Model Coefficients'!$C$10*M196+'Model Coefficients'!$C$11*N196+'Model Coefficients'!$C$12*O196+'Model Coefficients'!$C$13*P196+'Model Coefficients'!$C$14*Q196</f>
        <v/>
      </c>
      <c r="S196" s="8">
        <f>1/(1+EXP(-R196))</f>
        <v/>
      </c>
      <c r="T196" s="6">
        <f>IF(S196&lt;0.15,"Low Risk",IF(S196&lt;0.35,"Medium Risk","High Risk"))</f>
        <v/>
      </c>
      <c r="U196" s="6" t="inlineStr">
        <is>
          <t>Repaid</t>
        </is>
      </c>
    </row>
    <row r="197">
      <c r="A197" s="6" t="inlineStr">
        <is>
          <t>MFI-0196</t>
        </is>
      </c>
      <c r="B197" s="6" t="n">
        <v>79.5</v>
      </c>
      <c r="C197" s="6" t="n">
        <v>24</v>
      </c>
      <c r="D197" s="6" t="n">
        <v>51</v>
      </c>
      <c r="E197" s="6" t="n">
        <v>27.25</v>
      </c>
      <c r="F197" s="6" t="n">
        <v>1</v>
      </c>
      <c r="G197" s="6" t="n">
        <v>4</v>
      </c>
      <c r="H197" s="6" t="n">
        <v>0</v>
      </c>
      <c r="I197" s="6" t="n">
        <v>1</v>
      </c>
      <c r="J197" s="7">
        <f>(B197-'Model Coefficients'!$C$18)/'Model Coefficients'!$D$18</f>
        <v/>
      </c>
      <c r="K197" s="7">
        <f>(C197-'Model Coefficients'!$C$19)/'Model Coefficients'!$D$19</f>
        <v/>
      </c>
      <c r="L197" s="7">
        <f>(D197-'Model Coefficients'!$C$20)/'Model Coefficients'!$D$20</f>
        <v/>
      </c>
      <c r="M197" s="7">
        <f>(E197-'Model Coefficients'!$C$21)/'Model Coefficients'!$D$21</f>
        <v/>
      </c>
      <c r="N197" s="7">
        <f>(F197-'Model Coefficients'!$C$22)/'Model Coefficients'!$D$22</f>
        <v/>
      </c>
      <c r="O197" s="7">
        <f>(G197-'Model Coefficients'!$C$23)/'Model Coefficients'!$D$23</f>
        <v/>
      </c>
      <c r="P197" s="7">
        <f>(H197-'Model Coefficients'!$C$24)/'Model Coefficients'!$D$24</f>
        <v/>
      </c>
      <c r="Q197" s="7">
        <f>(I197-'Model Coefficients'!$C$25)/'Model Coefficients'!$D$25</f>
        <v/>
      </c>
      <c r="R197" s="7">
        <f>'Model Coefficients'!$C$6+'Model Coefficients'!$C$7*J197+'Model Coefficients'!$C$8*K197+'Model Coefficients'!$C$9*L197+'Model Coefficients'!$C$10*M197+'Model Coefficients'!$C$11*N197+'Model Coefficients'!$C$12*O197+'Model Coefficients'!$C$13*P197+'Model Coefficients'!$C$14*Q197</f>
        <v/>
      </c>
      <c r="S197" s="8">
        <f>1/(1+EXP(-R197))</f>
        <v/>
      </c>
      <c r="T197" s="6">
        <f>IF(S197&lt;0.15,"Low Risk",IF(S197&lt;0.35,"Medium Risk","High Risk"))</f>
        <v/>
      </c>
      <c r="U197" s="6" t="inlineStr">
        <is>
          <t>Defaulted</t>
        </is>
      </c>
    </row>
    <row r="198">
      <c r="A198" s="6" t="inlineStr">
        <is>
          <t>MFI-0197</t>
        </is>
      </c>
      <c r="B198" s="6" t="n">
        <v>38.38</v>
      </c>
      <c r="C198" s="6" t="n">
        <v>6</v>
      </c>
      <c r="D198" s="6" t="n">
        <v>46</v>
      </c>
      <c r="E198" s="6" t="n">
        <v>90.18000000000001</v>
      </c>
      <c r="F198" s="6" t="n">
        <v>1</v>
      </c>
      <c r="G198" s="6" t="n">
        <v>2</v>
      </c>
      <c r="H198" s="6" t="n">
        <v>1</v>
      </c>
      <c r="I198" s="6" t="n">
        <v>0</v>
      </c>
      <c r="J198" s="7">
        <f>(B198-'Model Coefficients'!$C$18)/'Model Coefficients'!$D$18</f>
        <v/>
      </c>
      <c r="K198" s="7">
        <f>(C198-'Model Coefficients'!$C$19)/'Model Coefficients'!$D$19</f>
        <v/>
      </c>
      <c r="L198" s="7">
        <f>(D198-'Model Coefficients'!$C$20)/'Model Coefficients'!$D$20</f>
        <v/>
      </c>
      <c r="M198" s="7">
        <f>(E198-'Model Coefficients'!$C$21)/'Model Coefficients'!$D$21</f>
        <v/>
      </c>
      <c r="N198" s="7">
        <f>(F198-'Model Coefficients'!$C$22)/'Model Coefficients'!$D$22</f>
        <v/>
      </c>
      <c r="O198" s="7">
        <f>(G198-'Model Coefficients'!$C$23)/'Model Coefficients'!$D$23</f>
        <v/>
      </c>
      <c r="P198" s="7">
        <f>(H198-'Model Coefficients'!$C$24)/'Model Coefficients'!$D$24</f>
        <v/>
      </c>
      <c r="Q198" s="7">
        <f>(I198-'Model Coefficients'!$C$25)/'Model Coefficients'!$D$25</f>
        <v/>
      </c>
      <c r="R198" s="7">
        <f>'Model Coefficients'!$C$6+'Model Coefficients'!$C$7*J198+'Model Coefficients'!$C$8*K198+'Model Coefficients'!$C$9*L198+'Model Coefficients'!$C$10*M198+'Model Coefficients'!$C$11*N198+'Model Coefficients'!$C$12*O198+'Model Coefficients'!$C$13*P198+'Model Coefficients'!$C$14*Q198</f>
        <v/>
      </c>
      <c r="S198" s="8">
        <f>1/(1+EXP(-R198))</f>
        <v/>
      </c>
      <c r="T198" s="6">
        <f>IF(S198&lt;0.15,"Low Risk",IF(S198&lt;0.35,"Medium Risk","High Risk"))</f>
        <v/>
      </c>
      <c r="U198" s="6" t="inlineStr">
        <is>
          <t>Repaid</t>
        </is>
      </c>
    </row>
    <row r="199">
      <c r="A199" s="6" t="inlineStr">
        <is>
          <t>MFI-0198</t>
        </is>
      </c>
      <c r="B199" s="6" t="n">
        <v>42.35</v>
      </c>
      <c r="C199" s="6" t="n">
        <v>12</v>
      </c>
      <c r="D199" s="6" t="n">
        <v>54</v>
      </c>
      <c r="E199" s="6" t="n">
        <v>51.69</v>
      </c>
      <c r="F199" s="6" t="n">
        <v>0</v>
      </c>
      <c r="G199" s="6" t="n">
        <v>0</v>
      </c>
      <c r="H199" s="6" t="n">
        <v>1</v>
      </c>
      <c r="I199" s="6" t="n">
        <v>1</v>
      </c>
      <c r="J199" s="7">
        <f>(B199-'Model Coefficients'!$C$18)/'Model Coefficients'!$D$18</f>
        <v/>
      </c>
      <c r="K199" s="7">
        <f>(C199-'Model Coefficients'!$C$19)/'Model Coefficients'!$D$19</f>
        <v/>
      </c>
      <c r="L199" s="7">
        <f>(D199-'Model Coefficients'!$C$20)/'Model Coefficients'!$D$20</f>
        <v/>
      </c>
      <c r="M199" s="7">
        <f>(E199-'Model Coefficients'!$C$21)/'Model Coefficients'!$D$21</f>
        <v/>
      </c>
      <c r="N199" s="7">
        <f>(F199-'Model Coefficients'!$C$22)/'Model Coefficients'!$D$22</f>
        <v/>
      </c>
      <c r="O199" s="7">
        <f>(G199-'Model Coefficients'!$C$23)/'Model Coefficients'!$D$23</f>
        <v/>
      </c>
      <c r="P199" s="7">
        <f>(H199-'Model Coefficients'!$C$24)/'Model Coefficients'!$D$24</f>
        <v/>
      </c>
      <c r="Q199" s="7">
        <f>(I199-'Model Coefficients'!$C$25)/'Model Coefficients'!$D$25</f>
        <v/>
      </c>
      <c r="R199" s="7">
        <f>'Model Coefficients'!$C$6+'Model Coefficients'!$C$7*J199+'Model Coefficients'!$C$8*K199+'Model Coefficients'!$C$9*L199+'Model Coefficients'!$C$10*M199+'Model Coefficients'!$C$11*N199+'Model Coefficients'!$C$12*O199+'Model Coefficients'!$C$13*P199+'Model Coefficients'!$C$14*Q199</f>
        <v/>
      </c>
      <c r="S199" s="8">
        <f>1/(1+EXP(-R199))</f>
        <v/>
      </c>
      <c r="T199" s="6">
        <f>IF(S199&lt;0.15,"Low Risk",IF(S199&lt;0.35,"Medium Risk","High Risk"))</f>
        <v/>
      </c>
      <c r="U199" s="6" t="inlineStr">
        <is>
          <t>Repaid</t>
        </is>
      </c>
    </row>
    <row r="200">
      <c r="A200" s="6" t="inlineStr">
        <is>
          <t>MFI-0199</t>
        </is>
      </c>
      <c r="B200" s="6" t="n">
        <v>58.36</v>
      </c>
      <c r="C200" s="6" t="n">
        <v>12</v>
      </c>
      <c r="D200" s="6" t="n">
        <v>48</v>
      </c>
      <c r="E200" s="6" t="n">
        <v>32.71</v>
      </c>
      <c r="F200" s="6" t="n">
        <v>4</v>
      </c>
      <c r="G200" s="6" t="n">
        <v>4</v>
      </c>
      <c r="H200" s="6" t="n">
        <v>1</v>
      </c>
      <c r="I200" s="6" t="n">
        <v>1</v>
      </c>
      <c r="J200" s="7">
        <f>(B200-'Model Coefficients'!$C$18)/'Model Coefficients'!$D$18</f>
        <v/>
      </c>
      <c r="K200" s="7">
        <f>(C200-'Model Coefficients'!$C$19)/'Model Coefficients'!$D$19</f>
        <v/>
      </c>
      <c r="L200" s="7">
        <f>(D200-'Model Coefficients'!$C$20)/'Model Coefficients'!$D$20</f>
        <v/>
      </c>
      <c r="M200" s="7">
        <f>(E200-'Model Coefficients'!$C$21)/'Model Coefficients'!$D$21</f>
        <v/>
      </c>
      <c r="N200" s="7">
        <f>(F200-'Model Coefficients'!$C$22)/'Model Coefficients'!$D$22</f>
        <v/>
      </c>
      <c r="O200" s="7">
        <f>(G200-'Model Coefficients'!$C$23)/'Model Coefficients'!$D$23</f>
        <v/>
      </c>
      <c r="P200" s="7">
        <f>(H200-'Model Coefficients'!$C$24)/'Model Coefficients'!$D$24</f>
        <v/>
      </c>
      <c r="Q200" s="7">
        <f>(I200-'Model Coefficients'!$C$25)/'Model Coefficients'!$D$25</f>
        <v/>
      </c>
      <c r="R200" s="7">
        <f>'Model Coefficients'!$C$6+'Model Coefficients'!$C$7*J200+'Model Coefficients'!$C$8*K200+'Model Coefficients'!$C$9*L200+'Model Coefficients'!$C$10*M200+'Model Coefficients'!$C$11*N200+'Model Coefficients'!$C$12*O200+'Model Coefficients'!$C$13*P200+'Model Coefficients'!$C$14*Q200</f>
        <v/>
      </c>
      <c r="S200" s="8">
        <f>1/(1+EXP(-R200))</f>
        <v/>
      </c>
      <c r="T200" s="6">
        <f>IF(S200&lt;0.15,"Low Risk",IF(S200&lt;0.35,"Medium Risk","High Risk"))</f>
        <v/>
      </c>
      <c r="U200" s="6" t="inlineStr">
        <is>
          <t>Repaid</t>
        </is>
      </c>
    </row>
    <row r="201">
      <c r="A201" s="6" t="inlineStr">
        <is>
          <t>MFI-0200</t>
        </is>
      </c>
      <c r="B201" s="6" t="n">
        <v>95.42</v>
      </c>
      <c r="C201" s="6" t="n">
        <v>12</v>
      </c>
      <c r="D201" s="6" t="n">
        <v>46</v>
      </c>
      <c r="E201" s="6" t="n">
        <v>37.55</v>
      </c>
      <c r="F201" s="6" t="n">
        <v>4</v>
      </c>
      <c r="G201" s="6" t="n">
        <v>1</v>
      </c>
      <c r="H201" s="6" t="n">
        <v>0</v>
      </c>
      <c r="I201" s="6" t="n">
        <v>1</v>
      </c>
      <c r="J201" s="7">
        <f>(B201-'Model Coefficients'!$C$18)/'Model Coefficients'!$D$18</f>
        <v/>
      </c>
      <c r="K201" s="7">
        <f>(C201-'Model Coefficients'!$C$19)/'Model Coefficients'!$D$19</f>
        <v/>
      </c>
      <c r="L201" s="7">
        <f>(D201-'Model Coefficients'!$C$20)/'Model Coefficients'!$D$20</f>
        <v/>
      </c>
      <c r="M201" s="7">
        <f>(E201-'Model Coefficients'!$C$21)/'Model Coefficients'!$D$21</f>
        <v/>
      </c>
      <c r="N201" s="7">
        <f>(F201-'Model Coefficients'!$C$22)/'Model Coefficients'!$D$22</f>
        <v/>
      </c>
      <c r="O201" s="7">
        <f>(G201-'Model Coefficients'!$C$23)/'Model Coefficients'!$D$23</f>
        <v/>
      </c>
      <c r="P201" s="7">
        <f>(H201-'Model Coefficients'!$C$24)/'Model Coefficients'!$D$24</f>
        <v/>
      </c>
      <c r="Q201" s="7">
        <f>(I201-'Model Coefficients'!$C$25)/'Model Coefficients'!$D$25</f>
        <v/>
      </c>
      <c r="R201" s="7">
        <f>'Model Coefficients'!$C$6+'Model Coefficients'!$C$7*J201+'Model Coefficients'!$C$8*K201+'Model Coefficients'!$C$9*L201+'Model Coefficients'!$C$10*M201+'Model Coefficients'!$C$11*N201+'Model Coefficients'!$C$12*O201+'Model Coefficients'!$C$13*P201+'Model Coefficients'!$C$14*Q201</f>
        <v/>
      </c>
      <c r="S201" s="8">
        <f>1/(1+EXP(-R201))</f>
        <v/>
      </c>
      <c r="T201" s="6">
        <f>IF(S201&lt;0.15,"Low Risk",IF(S201&lt;0.35,"Medium Risk","High Risk"))</f>
        <v/>
      </c>
      <c r="U201" s="6" t="inlineStr">
        <is>
          <t>Repaid</t>
        </is>
      </c>
    </row>
  </sheetData>
  <autoFilter ref="A1:U201"/>
  <conditionalFormatting sqref="S2:S201">
    <cfRule type="colorScale" priority="1">
      <colorScale>
        <cfvo type="min"/>
        <cfvo type="max"/>
        <color rgb="0063BE7B"/>
        <color rgb="00F8696B"/>
      </colorScale>
    </cfRule>
  </conditionalFormatting>
  <conditionalFormatting sqref="U2:U201">
    <cfRule type="cellIs" priority="2" operator="equal" dxfId="0">
      <formula>"Defaulted"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20" customWidth="1" min="4" max="4"/>
    <col width="20" customWidth="1" min="5" max="5"/>
  </cols>
  <sheetData>
    <row r="2">
      <c r="B2" s="1" t="inlineStr">
        <is>
          <t>Model Validation - Decile (Gains) Table, Confusion Matrix, KS Statistic</t>
        </is>
      </c>
    </row>
    <row r="3">
      <c r="B3" s="2" t="inlineStr">
        <is>
          <t>Loans are ranked by predicted default probability and split into 10 equal deciles (decile 10 = highest risk).</t>
        </is>
      </c>
    </row>
    <row r="5">
      <c r="B5" s="5" t="inlineStr">
        <is>
          <t>Decile (1=Lowest Risk,10=Highest Risk)</t>
        </is>
      </c>
      <c r="C5" s="5" t="inlineStr">
        <is>
          <t># Loans</t>
        </is>
      </c>
      <c r="D5" s="5" t="inlineStr">
        <is>
          <t>Avg Predicted Prob.</t>
        </is>
      </c>
      <c r="E5" s="5" t="inlineStr">
        <is>
          <t>Actual Default Rate</t>
        </is>
      </c>
    </row>
    <row r="6">
      <c r="B6" s="6" t="n">
        <v>1</v>
      </c>
      <c r="C6" s="6" t="n">
        <v>20</v>
      </c>
      <c r="D6" s="8" t="n">
        <v>0.0098</v>
      </c>
      <c r="E6" s="8" t="n">
        <v>0</v>
      </c>
    </row>
    <row r="7">
      <c r="B7" s="6" t="n">
        <v>2</v>
      </c>
      <c r="C7" s="6" t="n">
        <v>20</v>
      </c>
      <c r="D7" s="8" t="n">
        <v>0.0223</v>
      </c>
      <c r="E7" s="8" t="n">
        <v>0.05</v>
      </c>
    </row>
    <row r="8">
      <c r="B8" s="6" t="n">
        <v>3</v>
      </c>
      <c r="C8" s="6" t="n">
        <v>20</v>
      </c>
      <c r="D8" s="8" t="n">
        <v>0.0417</v>
      </c>
      <c r="E8" s="8" t="n">
        <v>0.1</v>
      </c>
    </row>
    <row r="9">
      <c r="B9" s="6" t="n">
        <v>4</v>
      </c>
      <c r="C9" s="6" t="n">
        <v>20</v>
      </c>
      <c r="D9" s="8" t="n">
        <v>0.07820000000000001</v>
      </c>
      <c r="E9" s="8" t="n">
        <v>0.1</v>
      </c>
    </row>
    <row r="10">
      <c r="B10" s="6" t="n">
        <v>5</v>
      </c>
      <c r="C10" s="6" t="n">
        <v>20</v>
      </c>
      <c r="D10" s="8" t="n">
        <v>0.1135</v>
      </c>
      <c r="E10" s="8" t="n">
        <v>0.05</v>
      </c>
    </row>
    <row r="11">
      <c r="B11" s="6" t="n">
        <v>6</v>
      </c>
      <c r="C11" s="6" t="n">
        <v>20</v>
      </c>
      <c r="D11" s="8" t="n">
        <v>0.1767</v>
      </c>
      <c r="E11" s="8" t="n">
        <v>0.05</v>
      </c>
    </row>
    <row r="12">
      <c r="B12" s="6" t="n">
        <v>7</v>
      </c>
      <c r="C12" s="6" t="n">
        <v>20</v>
      </c>
      <c r="D12" s="8" t="n">
        <v>0.2621</v>
      </c>
      <c r="E12" s="8" t="n">
        <v>0.15</v>
      </c>
    </row>
    <row r="13">
      <c r="B13" s="6" t="n">
        <v>8</v>
      </c>
      <c r="C13" s="6" t="n">
        <v>20</v>
      </c>
      <c r="D13" s="8" t="n">
        <v>0.3837</v>
      </c>
      <c r="E13" s="8" t="n">
        <v>0.55</v>
      </c>
    </row>
    <row r="14">
      <c r="B14" s="6" t="n">
        <v>9</v>
      </c>
      <c r="C14" s="6" t="n">
        <v>20</v>
      </c>
      <c r="D14" s="8" t="n">
        <v>0.5601</v>
      </c>
      <c r="E14" s="8" t="n">
        <v>0.5</v>
      </c>
    </row>
    <row r="15">
      <c r="B15" s="6" t="n">
        <v>10</v>
      </c>
      <c r="C15" s="6" t="n">
        <v>20</v>
      </c>
      <c r="D15" s="8" t="n">
        <v>0.8018</v>
      </c>
      <c r="E15" s="8" t="n">
        <v>0.9</v>
      </c>
    </row>
    <row r="17">
      <c r="B17" s="9" t="inlineStr">
        <is>
          <t>KS Statistic (max separation between cumulative %bad and %good)</t>
        </is>
      </c>
      <c r="D17" s="10" t="n">
        <v>0.6568000000000001</v>
      </c>
    </row>
    <row r="18">
      <c r="B18" s="11" t="inlineStr">
        <is>
          <t>Interpretation: KS &gt; 20% is considered acceptable discrimination for a credit-risk scorecard; &gt; 40% is strong.</t>
        </is>
      </c>
    </row>
    <row r="20">
      <c r="B20" s="3" t="inlineStr">
        <is>
          <t>Confusion Matrix at Probability Cutoff = 30%</t>
        </is>
      </c>
    </row>
    <row r="21">
      <c r="B21" s="6" t="n"/>
      <c r="C21" s="6" t="inlineStr">
        <is>
          <t>Predicted: Repaid</t>
        </is>
      </c>
      <c r="D21" s="6" t="inlineStr">
        <is>
          <t>Predicted: Default</t>
        </is>
      </c>
    </row>
    <row r="22">
      <c r="B22" s="12" t="inlineStr">
        <is>
          <t>Actual: Repaid</t>
        </is>
      </c>
      <c r="C22" s="12" t="n">
        <v>128</v>
      </c>
      <c r="D22" s="12" t="n">
        <v>23</v>
      </c>
    </row>
    <row r="23">
      <c r="B23" s="12" t="inlineStr">
        <is>
          <t>Actual: Default</t>
        </is>
      </c>
      <c r="C23" s="12" t="n">
        <v>8</v>
      </c>
      <c r="D23" s="12" t="n">
        <v>41</v>
      </c>
    </row>
    <row r="25">
      <c r="B25" s="9" t="inlineStr">
        <is>
          <t>Accuracy</t>
        </is>
      </c>
      <c r="D25" s="13" t="n">
        <v>0.845</v>
      </c>
    </row>
    <row r="26">
      <c r="B26" s="9" t="inlineStr">
        <is>
          <t>Precision (of predicted defaults, % that actually defaulted)</t>
        </is>
      </c>
      <c r="D26" s="13" t="n">
        <v>0.6405999999999999</v>
      </c>
    </row>
    <row r="27">
      <c r="B27" s="9" t="inlineStr">
        <is>
          <t>Recall (of actual defaults, % correctly flagged)</t>
        </is>
      </c>
      <c r="D27" s="13" t="n">
        <v>0.8367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2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2">
      <c r="B2" s="1" t="inlineStr">
        <is>
          <t>Model Validation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Key Findings &amp; Recommendations</t>
        </is>
      </c>
    </row>
    <row r="4">
      <c r="B4" s="14" t="inlineStr">
        <is>
          <t>1. THE MODEL RANK-ORDERS RISK WELL: actual default rate rises close to monotonically from decile 1 (lowest</t>
        </is>
      </c>
    </row>
    <row r="5">
      <c r="B5" s="14" t="inlineStr">
        <is>
          <t xml:space="preserve">   predicted risk) to decile 10 (highest predicted risk) - the core requirement of any usable credit-risk model,</t>
        </is>
      </c>
    </row>
    <row r="6">
      <c r="B6" s="14" t="inlineStr">
        <is>
          <t xml:space="preserve">   confirmed here with a KS statistic of 65.7%, comfortably above the ~20% threshold generally considered</t>
        </is>
      </c>
    </row>
    <row r="7">
      <c r="B7" s="14" t="inlineStr">
        <is>
          <t xml:space="preserve">   acceptable discrimination for a scorecard.</t>
        </is>
      </c>
    </row>
    <row r="8">
      <c r="B8" s="14" t="inlineStr">
        <is>
          <t>2. MONTHLY INCOME AND LOAN AMOUNT ARE THE TWO STRONGEST DRIVERS of predicted default risk (largest standardised</t>
        </is>
      </c>
    </row>
    <row r="9">
      <c r="B9" s="14" t="inlineStr">
        <is>
          <t xml:space="preserve">   coefficients, both larger than dependents, age, prior-loan track record, or group-lending status) - and they</t>
        </is>
      </c>
    </row>
    <row r="10">
      <c r="B10" s="14" t="inlineStr">
        <is>
          <t xml:space="preserve">   point in opposite, mutually reinforcing directions (higher income lowers risk, a larger loan raises it),</t>
        </is>
      </c>
    </row>
    <row r="11">
      <c r="B11" s="14" t="inlineStr">
        <is>
          <t xml:space="preserve">   consistent with the well-established microfinance finding that affordability relative to income matters more</t>
        </is>
      </c>
    </row>
    <row r="12">
      <c r="B12" s="14" t="inlineStr">
        <is>
          <t xml:space="preserve">   than almost any other single factor.</t>
        </is>
      </c>
    </row>
    <row r="13">
      <c r="B13" s="14" t="inlineStr">
        <is>
          <t>3. GROUP/JOINT-LIABILITY LENDING AND GUARANTORS BOTH REDUCE PREDICTED DEFAULT RISK - a direct, quantified</t>
        </is>
      </c>
    </row>
    <row r="14">
      <c r="B14" s="14" t="inlineStr">
        <is>
          <t xml:space="preserve">   confirmation of the core insight behind the Grameen-style group-lending model that much of microfinance is</t>
        </is>
      </c>
    </row>
    <row r="15">
      <c r="B15" s="14" t="inlineStr">
        <is>
          <t xml:space="preserve">   built on: social collateral can substitute for financial collateral.</t>
        </is>
      </c>
    </row>
    <row r="16">
      <c r="B16" s="14" t="inlineStr">
        <is>
          <t>4. AT A 30% PROBABILITY CUTOFF, the model catches a meaningful share of true defaulters (see Recall) while keeping</t>
        </is>
      </c>
    </row>
    <row r="17">
      <c r="B17" s="14" t="inlineStr">
        <is>
          <t xml:space="preserve">   false positives at a manageable level (see Precision) - an MFI would tune this cutoff based on the relative</t>
        </is>
      </c>
    </row>
    <row r="18">
      <c r="B18" s="14" t="inlineStr">
        <is>
          <t xml:space="preserve">   cost of a missed default vs. the cost of rejecting a good borrower (a policy, not a statistical, choice).</t>
        </is>
      </c>
    </row>
    <row r="19">
      <c r="B19" s="14" t="inlineStr"/>
    </row>
    <row r="20">
      <c r="B20" s="14" t="inlineStr">
        <is>
          <t>HOW THIS DIFFERS FROM PROJECT 2 (SME Alternative Credit Scoring)</t>
        </is>
      </c>
    </row>
    <row r="21">
      <c r="B21" s="14" t="inlineStr">
        <is>
          <t>Project 2 builds an expert-judgment points scorecard (weights set by domain knowledge, no fitted model) suited to</t>
        </is>
      </c>
    </row>
    <row r="22">
      <c r="B22" s="14" t="inlineStr">
        <is>
          <t>a brand-new alternative-data product with no historical loan performance yet. This project shows the next stage</t>
        </is>
      </c>
    </row>
    <row r="23">
      <c r="B23" s="14" t="inlineStr">
        <is>
          <t>of a credit model's life: once enough real repayment outcomes exist, fit an actual statistical model (logistic</t>
        </is>
      </c>
    </row>
    <row r="24">
      <c r="B24" s="14" t="inlineStr">
        <is>
          <t>regression here; gradient boosting in a more advanced version) and VALIDATE it properly with deciles, KS, and a</t>
        </is>
      </c>
    </row>
    <row r="25">
      <c r="B25" s="14" t="inlineStr">
        <is>
          <t>confusion matrix - the two projects together show both ends of a real credit-risk model's lifecycle.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2026-09-13T12:18:11Z</dcterms:created>
  <dcterms:modified xsi:type="dcterms:W3CDTF">2026-09-13T12:18:12Z</dcterms:modified>
</cp:coreProperties>
</file>