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ssumptions" sheetId="2" state="visible" r:id="rId2"/>
    <sheet name="Revolving Fund Model" sheetId="3" state="visible" r:id="rId3"/>
    <sheet name="Social Impact &amp; Interest Saved" sheetId="4" state="visible" r:id="rId4"/>
    <sheet name="Dashboard" sheetId="5" state="visible" r:id="rId5"/>
    <sheet name="Insigh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0.00&quot;x&quot;"/>
  </numFmts>
  <fonts count="9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666666"/>
      <sz val="10"/>
    </font>
    <font>
      <b val="1"/>
      <color rgb="001F3864"/>
      <sz val="12"/>
    </font>
    <font>
      <sz val="10"/>
    </font>
    <font>
      <b val="1"/>
      <color rgb="00FFFFFF"/>
      <sz val="11"/>
    </font>
    <font/>
    <font>
      <b val="1"/>
    </font>
    <font>
      <sz val="10.5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8C4D9"/>
      </left>
      <right style="thin">
        <color rgb="00B8C4D9"/>
      </right>
      <top style="thin">
        <color rgb="00B8C4D9"/>
      </top>
      <bottom style="thin">
        <color rgb="00B8C4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3" fontId="0" fillId="3" borderId="1" pivotButton="0" quotePrefix="0" xfId="0"/>
    <xf numFmtId="164" fontId="0" fillId="3" borderId="1" pivotButton="0" quotePrefix="0" xfId="0"/>
    <xf numFmtId="165" fontId="0" fillId="3" borderId="1" pivotButton="0" quotePrefix="0" xfId="0"/>
    <xf numFmtId="9" fontId="0" fillId="3" borderId="1" pivotButton="0" quotePrefix="0" xfId="0"/>
    <xf numFmtId="0" fontId="6" fillId="0" borderId="0" pivotButton="0" quotePrefix="0" xfId="0"/>
    <xf numFmtId="3" fontId="0" fillId="0" borderId="1" pivotButton="0" quotePrefix="0" xfId="0"/>
    <xf numFmtId="0" fontId="7" fillId="0" borderId="0" pivotButton="0" quotePrefix="0" xfId="0"/>
    <xf numFmtId="3" fontId="7" fillId="0" borderId="1" pivotButton="0" quotePrefix="0" xfId="0"/>
    <xf numFmtId="164" fontId="0" fillId="0" borderId="1" pivotButton="0" quotePrefix="0" xfId="0"/>
    <xf numFmtId="166" fontId="0" fillId="0" borderId="1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Borrowers Served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'Revolving Fund Model'!$C$5:$L$5</f>
            </numRef>
          </cat>
          <val>
            <numRef>
              <f>'Revolving Fund Model'!$C$15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'Revolving Fund Model'!$C$5:$L$5</f>
            </numRef>
          </cat>
          <val>
            <numRef>
              <f>'Revolving Fund Model'!$D$15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'Revolving Fund Model'!$C$5:$L$5</f>
            </numRef>
          </cat>
          <val>
            <numRef>
              <f>'Revolving Fund Model'!$E$15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'Revolving Fund Model'!$C$5:$L$5</f>
            </numRef>
          </cat>
          <val>
            <numRef>
              <f>'Revolving Fund Model'!$F$15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'Revolving Fund Model'!$C$5:$L$5</f>
            </numRef>
          </cat>
          <val>
            <numRef>
              <f>'Revolving Fund Model'!$G$15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'Revolving Fund Model'!$C$5:$L$5</f>
            </numRef>
          </cat>
          <val>
            <numRef>
              <f>'Revolving Fund Model'!$H$15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'Revolving Fund Model'!$C$5:$L$5</f>
            </numRef>
          </cat>
          <val>
            <numRef>
              <f>'Revolving Fund Model'!$I$15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'Revolving Fund Model'!$C$5:$L$5</f>
            </numRef>
          </cat>
          <val>
            <numRef>
              <f>'Revolving Fund Model'!$J$15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'Revolving Fund Model'!$C$5:$L$5</f>
            </numRef>
          </cat>
          <val>
            <numRef>
              <f>'Revolving Fund Model'!$K$15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'Revolving Fund Model'!$C$5:$L$5</f>
            </numRef>
          </cat>
          <val>
            <numRef>
              <f>'Revolving Fund Model'!$L$15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Fund Self-Sustainability Ratio (&gt;100% = fund grows without needing donations)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'Revolving Fund Model'!$C$5:$L$5</f>
            </numRef>
          </cat>
          <val>
            <numRef>
              <f>'Revolving Fund Model'!$C$16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'Revolving Fund Model'!$C$5:$L$5</f>
            </numRef>
          </cat>
          <val>
            <numRef>
              <f>'Revolving Fund Model'!$D$16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'Revolving Fund Model'!$C$5:$L$5</f>
            </numRef>
          </cat>
          <val>
            <numRef>
              <f>'Revolving Fund Model'!$E$16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'Revolving Fund Model'!$C$5:$L$5</f>
            </numRef>
          </cat>
          <val>
            <numRef>
              <f>'Revolving Fund Model'!$F$16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'Revolving Fund Model'!$C$5:$L$5</f>
            </numRef>
          </cat>
          <val>
            <numRef>
              <f>'Revolving Fund Model'!$G$16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'Revolving Fund Model'!$C$5:$L$5</f>
            </numRef>
          </cat>
          <val>
            <numRef>
              <f>'Revolving Fund Model'!$H$16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'Revolving Fund Model'!$C$5:$L$5</f>
            </numRef>
          </cat>
          <val>
            <numRef>
              <f>'Revolving Fund Model'!$I$16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'Revolving Fund Model'!$C$5:$L$5</f>
            </numRef>
          </cat>
          <val>
            <numRef>
              <f>'Revolving Fund Model'!$J$16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'Revolving Fund Model'!$C$5:$L$5</f>
            </numRef>
          </cat>
          <val>
            <numRef>
              <f>'Revolving Fund Model'!$K$16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'Revolving Fund Model'!$C$5:$L$5</f>
            </numRef>
          </cat>
          <val>
            <numRef>
              <f>'Revolving Fund Model'!$L$16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Interest/Cost Burden Avoided vs. Informal Moneylenders (PKR/year)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'Revolving Fund Model'!$C$5:$L$5</f>
            </numRef>
          </cat>
          <val>
            <numRef>
              <f>'Social Impact &amp; Interest Saved'!$C$10</f>
            </numRef>
          </val>
        </ser>
        <ser>
          <idx val="1"/>
          <order val="1"/>
          <spPr>
            <a:ln>
              <a:prstDash val="solid"/>
            </a:ln>
          </spPr>
          <cat>
            <numRef>
              <f>'Revolving Fund Model'!$C$5:$L$5</f>
            </numRef>
          </cat>
          <val>
            <numRef>
              <f>'Social Impact &amp; Interest Saved'!$D$10</f>
            </numRef>
          </val>
        </ser>
        <ser>
          <idx val="2"/>
          <order val="2"/>
          <spPr>
            <a:ln>
              <a:prstDash val="solid"/>
            </a:ln>
          </spPr>
          <cat>
            <numRef>
              <f>'Revolving Fund Model'!$C$5:$L$5</f>
            </numRef>
          </cat>
          <val>
            <numRef>
              <f>'Social Impact &amp; Interest Saved'!$E$10</f>
            </numRef>
          </val>
        </ser>
        <ser>
          <idx val="3"/>
          <order val="3"/>
          <spPr>
            <a:ln>
              <a:prstDash val="solid"/>
            </a:ln>
          </spPr>
          <cat>
            <numRef>
              <f>'Revolving Fund Model'!$C$5:$L$5</f>
            </numRef>
          </cat>
          <val>
            <numRef>
              <f>'Social Impact &amp; Interest Saved'!$F$10</f>
            </numRef>
          </val>
        </ser>
        <ser>
          <idx val="4"/>
          <order val="4"/>
          <spPr>
            <a:ln>
              <a:prstDash val="solid"/>
            </a:ln>
          </spPr>
          <cat>
            <numRef>
              <f>'Revolving Fund Model'!$C$5:$L$5</f>
            </numRef>
          </cat>
          <val>
            <numRef>
              <f>'Social Impact &amp; Interest Saved'!$G$10</f>
            </numRef>
          </val>
        </ser>
        <ser>
          <idx val="5"/>
          <order val="5"/>
          <spPr>
            <a:ln>
              <a:prstDash val="solid"/>
            </a:ln>
          </spPr>
          <cat>
            <numRef>
              <f>'Revolving Fund Model'!$C$5:$L$5</f>
            </numRef>
          </cat>
          <val>
            <numRef>
              <f>'Social Impact &amp; Interest Saved'!$H$10</f>
            </numRef>
          </val>
        </ser>
        <ser>
          <idx val="6"/>
          <order val="6"/>
          <spPr>
            <a:ln>
              <a:prstDash val="solid"/>
            </a:ln>
          </spPr>
          <cat>
            <numRef>
              <f>'Revolving Fund Model'!$C$5:$L$5</f>
            </numRef>
          </cat>
          <val>
            <numRef>
              <f>'Social Impact &amp; Interest Saved'!$I$10</f>
            </numRef>
          </val>
        </ser>
        <ser>
          <idx val="7"/>
          <order val="7"/>
          <spPr>
            <a:ln>
              <a:prstDash val="solid"/>
            </a:ln>
          </spPr>
          <cat>
            <numRef>
              <f>'Revolving Fund Model'!$C$5:$L$5</f>
            </numRef>
          </cat>
          <val>
            <numRef>
              <f>'Social Impact &amp; Interest Saved'!$J$10</f>
            </numRef>
          </val>
        </ser>
        <ser>
          <idx val="8"/>
          <order val="8"/>
          <spPr>
            <a:ln>
              <a:prstDash val="solid"/>
            </a:ln>
          </spPr>
          <cat>
            <numRef>
              <f>'Revolving Fund Model'!$C$5:$L$5</f>
            </numRef>
          </cat>
          <val>
            <numRef>
              <f>'Social Impact &amp; Interest Saved'!$K$10</f>
            </numRef>
          </val>
        </ser>
        <ser>
          <idx val="9"/>
          <order val="9"/>
          <spPr>
            <a:ln>
              <a:prstDash val="solid"/>
            </a:ln>
          </spPr>
          <cat>
            <numRef>
              <f>'Revolving Fund Model'!$C$5:$L$5</f>
            </numRef>
          </cat>
          <val>
            <numRef>
              <f>'Social Impact &amp; Interest Saved'!$L$10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Social Value Multiplier per PKR Donated (cumulative)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'Revolving Fund Model'!$C$5:$L$5</f>
            </numRef>
          </cat>
          <val>
            <numRef>
              <f>'Social Impact &amp; Interest Saved'!$C$16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'Revolving Fund Model'!$C$5:$L$5</f>
            </numRef>
          </cat>
          <val>
            <numRef>
              <f>'Social Impact &amp; Interest Saved'!$D$16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'Revolving Fund Model'!$C$5:$L$5</f>
            </numRef>
          </cat>
          <val>
            <numRef>
              <f>'Social Impact &amp; Interest Saved'!$E$16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'Revolving Fund Model'!$C$5:$L$5</f>
            </numRef>
          </cat>
          <val>
            <numRef>
              <f>'Social Impact &amp; Interest Saved'!$F$16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'Revolving Fund Model'!$C$5:$L$5</f>
            </numRef>
          </cat>
          <val>
            <numRef>
              <f>'Social Impact &amp; Interest Saved'!$G$16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'Revolving Fund Model'!$C$5:$L$5</f>
            </numRef>
          </cat>
          <val>
            <numRef>
              <f>'Social Impact &amp; Interest Saved'!$H$16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'Revolving Fund Model'!$C$5:$L$5</f>
            </numRef>
          </cat>
          <val>
            <numRef>
              <f>'Social Impact &amp; Interest Saved'!$I$16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'Revolving Fund Model'!$C$5:$L$5</f>
            </numRef>
          </cat>
          <val>
            <numRef>
              <f>'Social Impact &amp; Interest Saved'!$J$16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'Revolving Fund Model'!$C$5:$L$5</f>
            </numRef>
          </cat>
          <val>
            <numRef>
              <f>'Social Impact &amp; Interest Saved'!$K$16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'Revolving Fund Model'!$C$5:$L$5</f>
            </numRef>
          </cat>
          <val>
            <numRef>
              <f>'Social Impact &amp; Interest Saved'!$L$16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3</row>
      <rowOff>0</rowOff>
    </from>
    <ext cx="61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20</row>
      <rowOff>0</rowOff>
    </from>
    <ext cx="61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3</row>
      <rowOff>0</rowOff>
    </from>
    <ext cx="612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11</col>
      <colOff>0</colOff>
      <row>20</row>
      <rowOff>0</rowOff>
    </from>
    <ext cx="6120000" cy="32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2" customWidth="1" min="2" max="2"/>
  </cols>
  <sheetData>
    <row r="2">
      <c r="B2" s="1" t="inlineStr">
        <is>
          <t>Cash Waqf / Islamic Social Finance Impact Model</t>
        </is>
      </c>
    </row>
    <row r="3">
      <c r="B3" s="2" t="inlineStr">
        <is>
          <t>A revolving Qard-e-Hasan (interest-free loan) fund model, in the tradition of Pakistan's Akhuwat Foundation</t>
        </is>
      </c>
    </row>
    <row r="5">
      <c r="B5" s="3" t="inlineStr">
        <is>
          <t>PURPOSE</t>
        </is>
      </c>
    </row>
    <row r="6">
      <c r="B6" s="4" t="inlineStr">
        <is>
          <t>Millions of low-income Pakistani households cannot get an affordable loan from either a conventional bank (no</t>
        </is>
      </c>
    </row>
    <row r="7">
      <c r="B7" s="4" t="inlineStr">
        <is>
          <t>collateral, no credit history) or a typical microfinance institution (interest rates on small loans are often</t>
        </is>
      </c>
    </row>
    <row r="8">
      <c r="B8" s="4" t="inlineStr">
        <is>
          <t>very high once fees and mark-ups are included) - and routinely turn to informal moneylenders charging 5-10% PER</t>
        </is>
      </c>
    </row>
    <row r="9">
      <c r="B9" s="4" t="inlineStr">
        <is>
          <t>MONTH, an effective annual cost that can trap a household in debt rather than lifting it out of poverty.</t>
        </is>
      </c>
    </row>
    <row r="10">
      <c r="B10" s="4" t="inlineStr">
        <is>
          <t>Pakistan's own Akhuwat Foundation pioneered a different model at national scale: QARD-E-HASAN, an interest-free</t>
        </is>
      </c>
    </row>
    <row r="11">
      <c r="B11" s="4" t="inlineStr">
        <is>
          <t>loan funded by a revolving pool of donations (a form of cash waqf/philanthropic endowment), often disbursed</t>
        </is>
      </c>
    </row>
    <row r="12">
      <c r="B12" s="4" t="inlineStr">
        <is>
          <t>through mosques and repaid on trust and community/social accountability rather than collateral - and Akhuwat</t>
        </is>
      </c>
    </row>
    <row r="13">
      <c r="B13" s="4" t="inlineStr">
        <is>
          <t>has reported extraordinarily low default rates (commonly cited around 1-2%) as a result. This project builds a</t>
        </is>
      </c>
    </row>
    <row r="14">
      <c r="B14" s="4" t="inlineStr">
        <is>
          <t>financial model of exactly this mechanism: a revolving Qard-e-Hasan fund, its sustainability, and the welfare it</t>
        </is>
      </c>
    </row>
    <row r="15">
      <c r="B15" s="4" t="inlineStr">
        <is>
          <t>creates relative to the informal-lending alternative.</t>
        </is>
      </c>
    </row>
    <row r="17">
      <c r="B17" s="3" t="inlineStr">
        <is>
          <t>HOW THE MODEL WORKS</t>
        </is>
      </c>
    </row>
    <row r="18">
      <c r="B18" s="4" t="inlineStr">
        <is>
          <t>1. 'Assumptions' - the fund's starting corpus, annual donation inflows, average loan size, a small Shariah-</t>
        </is>
      </c>
    </row>
    <row r="19">
      <c r="B19" s="4" t="inlineStr">
        <is>
          <t xml:space="preserve">   permissible one-time SERVICE FEE (cost-recovery, not interest/riba - a fixed processing charge, not tied to</t>
        </is>
      </c>
    </row>
    <row r="20">
      <c r="B20" s="4" t="inlineStr">
        <is>
          <t xml:space="preserve">   loan duration or profit, is the same structure Akhuwat and Islamic scholars treat as permissible), the write-</t>
        </is>
      </c>
    </row>
    <row r="21">
      <c r="B21" s="4" t="inlineStr">
        <is>
          <t xml:space="preserve">   off/default rate, and operating cost per borrower.</t>
        </is>
      </c>
    </row>
    <row r="22">
      <c r="B22" s="4" t="inlineStr">
        <is>
          <t>2. 'Revolving Fund Model' - a 10-year roll-forward: each year, the fund lends out its FULL available corpus</t>
        </is>
      </c>
    </row>
    <row r="23">
      <c r="B23" s="4" t="inlineStr">
        <is>
          <t xml:space="preserve">   (beginning balance + new donations) as Qard-e-Hasan loans - a realistic assumption given Pakistan's very</t>
        </is>
      </c>
    </row>
    <row r="24">
      <c r="B24" s="4" t="inlineStr">
        <is>
          <t xml:space="preserve">   large unmet demand for small, affordable credit. Written-off loans are lost from the corpus; a service fee</t>
        </is>
      </c>
    </row>
    <row r="25">
      <c r="B25" s="4" t="inlineStr">
        <is>
          <t xml:space="preserve">   is collected to cover operating costs; the remaining principal recycles into next year's lending pool.</t>
        </is>
      </c>
    </row>
    <row r="26">
      <c r="B26" s="4" t="inlineStr">
        <is>
          <t>3. 'Social Impact &amp; Interest Saved' - translates the fund's activity into two impact metrics: (a) estimated</t>
        </is>
      </c>
    </row>
    <row r="27">
      <c r="B27" s="4" t="inlineStr">
        <is>
          <t xml:space="preserve">   household income uplift from the loan-funded activity, and (b) the INTEREST BURDEN AVOIDED by borrowing at a</t>
        </is>
      </c>
    </row>
    <row r="28">
      <c r="B28" s="4" t="inlineStr">
        <is>
          <t xml:space="preserve">   ~5% one-time fee instead of a typical informal moneylender's rate - a distinctly Islamic-finance welfare</t>
        </is>
      </c>
    </row>
    <row r="29">
      <c r="B29" s="4" t="inlineStr">
        <is>
          <t xml:space="preserve">   metric that a conventional microfinance model (Project 7) does not capture.</t>
        </is>
      </c>
    </row>
    <row r="30">
      <c r="B30" s="4" t="inlineStr">
        <is>
          <t>4. 'Dashboard' - cumulative borrowers served, corpus growth/self-sustainability, and interest avoided over time.</t>
        </is>
      </c>
    </row>
    <row r="32">
      <c r="B32" s="3" t="inlineStr">
        <is>
          <t>DATA NOTE</t>
        </is>
      </c>
    </row>
    <row r="33">
      <c r="B33" s="4" t="inlineStr">
        <is>
          <t>All figures are illustrative assumptions built to model the MECHANISM of a real, operating type of institution</t>
        </is>
      </c>
    </row>
    <row r="34">
      <c r="B34" s="4" t="inlineStr">
        <is>
          <t>(Akhuwat and similar Qard-e-Hasan funds in Pakistan) - not Akhuwat's actual audited financials. The low default-</t>
        </is>
      </c>
    </row>
    <row r="35">
      <c r="B35" s="4" t="inlineStr">
        <is>
          <t>rate assumption is directionally consistent with Akhuwat's own widely publicised repayment performance, used</t>
        </is>
      </c>
    </row>
    <row r="36">
      <c r="B36" s="4" t="inlineStr">
        <is>
          <t>here as a realistic illustrative parameter, not a reproduction of their reported figures.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0" customWidth="1" min="2" max="2"/>
    <col width="18" customWidth="1" min="3" max="3"/>
  </cols>
  <sheetData>
    <row r="2">
      <c r="B2" s="1" t="inlineStr">
        <is>
          <t>Model Assumptions - Revolving Qard-e-Hasan Fund</t>
        </is>
      </c>
    </row>
    <row r="4">
      <c r="B4" s="5" t="inlineStr">
        <is>
          <t>Assumption</t>
        </is>
      </c>
      <c r="C4" s="5" t="inlineStr">
        <is>
          <t>Value</t>
        </is>
      </c>
    </row>
    <row r="5">
      <c r="B5" t="inlineStr">
        <is>
          <t>Initial Waqf/Donation Corpus (PKR)</t>
        </is>
      </c>
      <c r="C5" s="6" t="n">
        <v>50000000</v>
      </c>
    </row>
    <row r="6">
      <c r="B6" t="inlineStr">
        <is>
          <t>Annual New Donations Inflow (PKR)</t>
        </is>
      </c>
      <c r="C6" s="6" t="n">
        <v>15000000</v>
      </c>
    </row>
    <row r="7">
      <c r="B7" t="inlineStr">
        <is>
          <t>Average Loan Size per Borrower (PKR)</t>
        </is>
      </c>
      <c r="C7" s="6" t="n">
        <v>60000</v>
      </c>
    </row>
    <row r="8">
      <c r="B8" t="inlineStr">
        <is>
          <t>Loan Write-off / Default Rate (annual)</t>
        </is>
      </c>
      <c r="C8" s="7" t="n">
        <v>0.02</v>
      </c>
    </row>
    <row r="9">
      <c r="B9" t="inlineStr">
        <is>
          <t>Service Fee Rate (one-time, cost-recovery only - not interest)</t>
        </is>
      </c>
      <c r="C9" s="7" t="n">
        <v>0.05</v>
      </c>
    </row>
    <row r="10">
      <c r="B10" t="inlineStr">
        <is>
          <t>Operating Cost per Borrower per Year (PKR)</t>
        </is>
      </c>
      <c r="C10" s="6" t="n">
        <v>3000</v>
      </c>
    </row>
    <row r="11">
      <c r="B11" t="inlineStr">
        <is>
          <t>Estimated Household Income Uplift per Loan (PKR/year)</t>
        </is>
      </c>
      <c r="C11" s="6" t="n">
        <v>18000</v>
      </c>
    </row>
    <row r="12">
      <c r="B12" t="inlineStr">
        <is>
          <t>Avg Household Size (persons benefiting per loan)</t>
        </is>
      </c>
      <c r="C12" s="8" t="n">
        <v>5.8</v>
      </c>
    </row>
    <row r="13">
      <c r="B13" t="inlineStr">
        <is>
          <t>Typical Informal Moneylender Annual Cost (illustrative)</t>
        </is>
      </c>
      <c r="C13" s="9" t="n">
        <v>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L1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5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s="1" t="inlineStr">
        <is>
          <t>Revolving Qard-e-Hasan Fund - 10-Year Model</t>
        </is>
      </c>
    </row>
    <row r="4">
      <c r="B4" s="5" t="inlineStr">
        <is>
          <t>Line Item</t>
        </is>
      </c>
      <c r="C4" s="5" t="inlineStr">
        <is>
          <t>Year 1</t>
        </is>
      </c>
      <c r="D4" s="5" t="inlineStr">
        <is>
          <t>Year 2</t>
        </is>
      </c>
      <c r="E4" s="5" t="inlineStr">
        <is>
          <t>Year 3</t>
        </is>
      </c>
      <c r="F4" s="5" t="inlineStr">
        <is>
          <t>Year 4</t>
        </is>
      </c>
      <c r="G4" s="5" t="inlineStr">
        <is>
          <t>Year 5</t>
        </is>
      </c>
      <c r="H4" s="5" t="inlineStr">
        <is>
          <t>Year 6</t>
        </is>
      </c>
      <c r="I4" s="5" t="inlineStr">
        <is>
          <t>Year 7</t>
        </is>
      </c>
      <c r="J4" s="5" t="inlineStr">
        <is>
          <t>Year 8</t>
        </is>
      </c>
      <c r="K4" s="5" t="inlineStr">
        <is>
          <t>Year 9</t>
        </is>
      </c>
      <c r="L4" s="5" t="inlineStr">
        <is>
          <t>Year 10</t>
        </is>
      </c>
    </row>
    <row r="5">
      <c r="B5" s="10" t="inlineStr">
        <is>
          <t>Beginning Corpus</t>
        </is>
      </c>
      <c r="C5" s="11">
        <f>Assumptions!$C$5</f>
        <v/>
      </c>
      <c r="D5" s="11">
        <f>C13</f>
        <v/>
      </c>
      <c r="E5" s="11">
        <f>D13</f>
        <v/>
      </c>
      <c r="F5" s="11">
        <f>E13</f>
        <v/>
      </c>
      <c r="G5" s="11">
        <f>F13</f>
        <v/>
      </c>
      <c r="H5" s="11">
        <f>G13</f>
        <v/>
      </c>
      <c r="I5" s="11">
        <f>H13</f>
        <v/>
      </c>
      <c r="J5" s="11">
        <f>I13</f>
        <v/>
      </c>
      <c r="K5" s="11">
        <f>J13</f>
        <v/>
      </c>
      <c r="L5" s="11">
        <f>K13</f>
        <v/>
      </c>
    </row>
    <row r="6">
      <c r="B6" s="10" t="inlineStr">
        <is>
          <t>New Donations Inflow</t>
        </is>
      </c>
      <c r="C6" s="11">
        <f>Assumptions!$C$6</f>
        <v/>
      </c>
      <c r="D6" s="11">
        <f>Assumptions!$C$6</f>
        <v/>
      </c>
      <c r="E6" s="11">
        <f>Assumptions!$C$6</f>
        <v/>
      </c>
      <c r="F6" s="11">
        <f>Assumptions!$C$6</f>
        <v/>
      </c>
      <c r="G6" s="11">
        <f>Assumptions!$C$6</f>
        <v/>
      </c>
      <c r="H6" s="11">
        <f>Assumptions!$C$6</f>
        <v/>
      </c>
      <c r="I6" s="11">
        <f>Assumptions!$C$6</f>
        <v/>
      </c>
      <c r="J6" s="11">
        <f>Assumptions!$C$6</f>
        <v/>
      </c>
      <c r="K6" s="11">
        <f>Assumptions!$C$6</f>
        <v/>
      </c>
      <c r="L6" s="11">
        <f>Assumptions!$C$6</f>
        <v/>
      </c>
    </row>
    <row r="7">
      <c r="B7" s="12" t="inlineStr">
        <is>
          <t>Available to Lend</t>
        </is>
      </c>
      <c r="C7" s="13">
        <f>C5+C6</f>
        <v/>
      </c>
      <c r="D7" s="13">
        <f>D5+D6</f>
        <v/>
      </c>
      <c r="E7" s="13">
        <f>E5+E6</f>
        <v/>
      </c>
      <c r="F7" s="13">
        <f>F5+F6</f>
        <v/>
      </c>
      <c r="G7" s="13">
        <f>G5+G6</f>
        <v/>
      </c>
      <c r="H7" s="13">
        <f>H5+H6</f>
        <v/>
      </c>
      <c r="I7" s="13">
        <f>I5+I6</f>
        <v/>
      </c>
      <c r="J7" s="13">
        <f>J5+J6</f>
        <v/>
      </c>
      <c r="K7" s="13">
        <f>K5+K6</f>
        <v/>
      </c>
      <c r="L7" s="13">
        <f>L5+L6</f>
        <v/>
      </c>
    </row>
    <row r="8">
      <c r="B8" s="12" t="inlineStr">
        <is>
          <t>Loans Disbursed (fund fully deployed - demand exceeds supply)</t>
        </is>
      </c>
      <c r="C8" s="13">
        <f>C7</f>
        <v/>
      </c>
      <c r="D8" s="13">
        <f>D7</f>
        <v/>
      </c>
      <c r="E8" s="13">
        <f>E7</f>
        <v/>
      </c>
      <c r="F8" s="13">
        <f>F7</f>
        <v/>
      </c>
      <c r="G8" s="13">
        <f>G7</f>
        <v/>
      </c>
      <c r="H8" s="13">
        <f>H7</f>
        <v/>
      </c>
      <c r="I8" s="13">
        <f>I7</f>
        <v/>
      </c>
      <c r="J8" s="13">
        <f>J7</f>
        <v/>
      </c>
      <c r="K8" s="13">
        <f>K7</f>
        <v/>
      </c>
      <c r="L8" s="13">
        <f>L7</f>
        <v/>
      </c>
    </row>
    <row r="9">
      <c r="B9" s="10" t="inlineStr">
        <is>
          <t>Borrowers Served</t>
        </is>
      </c>
      <c r="C9" s="11">
        <f>C8/Assumptions!$C$7</f>
        <v/>
      </c>
      <c r="D9" s="11">
        <f>D8/Assumptions!$C$7</f>
        <v/>
      </c>
      <c r="E9" s="11">
        <f>E8/Assumptions!$C$7</f>
        <v/>
      </c>
      <c r="F9" s="11">
        <f>F8/Assumptions!$C$7</f>
        <v/>
      </c>
      <c r="G9" s="11">
        <f>G8/Assumptions!$C$7</f>
        <v/>
      </c>
      <c r="H9" s="11">
        <f>H8/Assumptions!$C$7</f>
        <v/>
      </c>
      <c r="I9" s="11">
        <f>I8/Assumptions!$C$7</f>
        <v/>
      </c>
      <c r="J9" s="11">
        <f>J8/Assumptions!$C$7</f>
        <v/>
      </c>
      <c r="K9" s="11">
        <f>K8/Assumptions!$C$7</f>
        <v/>
      </c>
      <c r="L9" s="11">
        <f>L8/Assumptions!$C$7</f>
        <v/>
      </c>
    </row>
    <row r="10">
      <c r="B10" s="10" t="inlineStr">
        <is>
          <t>Write-offs (Defaults)</t>
        </is>
      </c>
      <c r="C10" s="11">
        <f>C8*Assumptions!$C$8</f>
        <v/>
      </c>
      <c r="D10" s="11">
        <f>D8*Assumptions!$C$8</f>
        <v/>
      </c>
      <c r="E10" s="11">
        <f>E8*Assumptions!$C$8</f>
        <v/>
      </c>
      <c r="F10" s="11">
        <f>F8*Assumptions!$C$8</f>
        <v/>
      </c>
      <c r="G10" s="11">
        <f>G8*Assumptions!$C$8</f>
        <v/>
      </c>
      <c r="H10" s="11">
        <f>H8*Assumptions!$C$8</f>
        <v/>
      </c>
      <c r="I10" s="11">
        <f>I8*Assumptions!$C$8</f>
        <v/>
      </c>
      <c r="J10" s="11">
        <f>J8*Assumptions!$C$8</f>
        <v/>
      </c>
      <c r="K10" s="11">
        <f>K8*Assumptions!$C$8</f>
        <v/>
      </c>
      <c r="L10" s="11">
        <f>L8*Assumptions!$C$8</f>
        <v/>
      </c>
    </row>
    <row r="11">
      <c r="B11" s="10" t="inlineStr">
        <is>
          <t>Service Fees Collected</t>
        </is>
      </c>
      <c r="C11" s="11">
        <f>C8*Assumptions!$C$9</f>
        <v/>
      </c>
      <c r="D11" s="11">
        <f>D8*Assumptions!$C$9</f>
        <v/>
      </c>
      <c r="E11" s="11">
        <f>E8*Assumptions!$C$9</f>
        <v/>
      </c>
      <c r="F11" s="11">
        <f>F8*Assumptions!$C$9</f>
        <v/>
      </c>
      <c r="G11" s="11">
        <f>G8*Assumptions!$C$9</f>
        <v/>
      </c>
      <c r="H11" s="11">
        <f>H8*Assumptions!$C$9</f>
        <v/>
      </c>
      <c r="I11" s="11">
        <f>I8*Assumptions!$C$9</f>
        <v/>
      </c>
      <c r="J11" s="11">
        <f>J8*Assumptions!$C$9</f>
        <v/>
      </c>
      <c r="K11" s="11">
        <f>K8*Assumptions!$C$9</f>
        <v/>
      </c>
      <c r="L11" s="11">
        <f>L8*Assumptions!$C$9</f>
        <v/>
      </c>
    </row>
    <row r="12">
      <c r="B12" s="10" t="inlineStr">
        <is>
          <t>Operating Costs</t>
        </is>
      </c>
      <c r="C12" s="11">
        <f>C9*Assumptions!$C$10</f>
        <v/>
      </c>
      <c r="D12" s="11">
        <f>D9*Assumptions!$C$10</f>
        <v/>
      </c>
      <c r="E12" s="11">
        <f>E9*Assumptions!$C$10</f>
        <v/>
      </c>
      <c r="F12" s="11">
        <f>F9*Assumptions!$C$10</f>
        <v/>
      </c>
      <c r="G12" s="11">
        <f>G9*Assumptions!$C$10</f>
        <v/>
      </c>
      <c r="H12" s="11">
        <f>H9*Assumptions!$C$10</f>
        <v/>
      </c>
      <c r="I12" s="11">
        <f>I9*Assumptions!$C$10</f>
        <v/>
      </c>
      <c r="J12" s="11">
        <f>J9*Assumptions!$C$10</f>
        <v/>
      </c>
      <c r="K12" s="11">
        <f>K9*Assumptions!$C$10</f>
        <v/>
      </c>
      <c r="L12" s="11">
        <f>L9*Assumptions!$C$10</f>
        <v/>
      </c>
    </row>
    <row r="13">
      <c r="B13" s="12" t="inlineStr">
        <is>
          <t>Ending Corpus (Principal Recovered + Fees - Opex)</t>
        </is>
      </c>
      <c r="C13" s="13">
        <f>(C8-C10)+C11-C12</f>
        <v/>
      </c>
      <c r="D13" s="13">
        <f>(D8-D10)+D11-D12</f>
        <v/>
      </c>
      <c r="E13" s="13">
        <f>(E8-E10)+E11-E12</f>
        <v/>
      </c>
      <c r="F13" s="13">
        <f>(F8-F10)+F11-F12</f>
        <v/>
      </c>
      <c r="G13" s="13">
        <f>(G8-G10)+G11-G12</f>
        <v/>
      </c>
      <c r="H13" s="13">
        <f>(H8-H10)+H11-H12</f>
        <v/>
      </c>
      <c r="I13" s="13">
        <f>(I8-I10)+I11-I12</f>
        <v/>
      </c>
      <c r="J13" s="13">
        <f>(J8-J10)+J11-J12</f>
        <v/>
      </c>
      <c r="K13" s="13">
        <f>(K8-K10)+K11-K12</f>
        <v/>
      </c>
      <c r="L13" s="13">
        <f>(L8-L10)+L11-L12</f>
        <v/>
      </c>
    </row>
    <row r="15">
      <c r="B15" s="12" t="inlineStr">
        <is>
          <t>CUMULATIVE Borrowers Served (since inception)</t>
        </is>
      </c>
      <c r="C15" s="13">
        <f>C9</f>
        <v/>
      </c>
      <c r="D15" s="13">
        <f>C15+D9</f>
        <v/>
      </c>
      <c r="E15" s="13">
        <f>D15+E9</f>
        <v/>
      </c>
      <c r="F15" s="13">
        <f>E15+F9</f>
        <v/>
      </c>
      <c r="G15" s="13">
        <f>F15+G9</f>
        <v/>
      </c>
      <c r="H15" s="13">
        <f>G15+H9</f>
        <v/>
      </c>
      <c r="I15" s="13">
        <f>H15+I9</f>
        <v/>
      </c>
      <c r="J15" s="13">
        <f>I15+J9</f>
        <v/>
      </c>
      <c r="K15" s="13">
        <f>J15+K9</f>
        <v/>
      </c>
      <c r="L15" s="13">
        <f>K15+L9</f>
        <v/>
      </c>
    </row>
    <row r="16">
      <c r="B16" s="10" t="inlineStr">
        <is>
          <t>Self-Sustainability Ratio ((Fees+Repaid Principal) / Available to Lend)</t>
        </is>
      </c>
      <c r="C16" s="14">
        <f>((C8-C10)+C11)/C7</f>
        <v/>
      </c>
      <c r="D16" s="14">
        <f>((D8-D10)+D11)/D7</f>
        <v/>
      </c>
      <c r="E16" s="14">
        <f>((E8-E10)+E11)/E7</f>
        <v/>
      </c>
      <c r="F16" s="14">
        <f>((F8-F10)+F11)/F7</f>
        <v/>
      </c>
      <c r="G16" s="14">
        <f>((G8-G10)+G11)/G7</f>
        <v/>
      </c>
      <c r="H16" s="14">
        <f>((H8-H10)+H11)/H7</f>
        <v/>
      </c>
      <c r="I16" s="14">
        <f>((I8-I10)+I11)/I7</f>
        <v/>
      </c>
      <c r="J16" s="14">
        <f>((J8-J10)+J11)/J7</f>
        <v/>
      </c>
      <c r="K16" s="14">
        <f>((K8-K10)+K11)/K7</f>
        <v/>
      </c>
      <c r="L16" s="14">
        <f>((L8-L10)+L11)/L7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L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6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s="1" t="inlineStr">
        <is>
          <t>Social Impact &amp; Interest-Avoided Analysis</t>
        </is>
      </c>
    </row>
    <row r="3">
      <c r="B3" s="2" t="inlineStr">
        <is>
          <t>Compares the Qard-e-Hasan service fee against a typical informal moneylender's cost for the same loan.</t>
        </is>
      </c>
    </row>
    <row r="5">
      <c r="B5" s="5" t="inlineStr">
        <is>
          <t>Line Item</t>
        </is>
      </c>
      <c r="C5" s="5" t="inlineStr">
        <is>
          <t>Year 1</t>
        </is>
      </c>
      <c r="D5" s="5" t="inlineStr">
        <is>
          <t>Year 2</t>
        </is>
      </c>
      <c r="E5" s="5" t="inlineStr">
        <is>
          <t>Year 3</t>
        </is>
      </c>
      <c r="F5" s="5" t="inlineStr">
        <is>
          <t>Year 4</t>
        </is>
      </c>
      <c r="G5" s="5" t="inlineStr">
        <is>
          <t>Year 5</t>
        </is>
      </c>
      <c r="H5" s="5" t="inlineStr">
        <is>
          <t>Year 6</t>
        </is>
      </c>
      <c r="I5" s="5" t="inlineStr">
        <is>
          <t>Year 7</t>
        </is>
      </c>
      <c r="J5" s="5" t="inlineStr">
        <is>
          <t>Year 8</t>
        </is>
      </c>
      <c r="K5" s="5" t="inlineStr">
        <is>
          <t>Year 9</t>
        </is>
      </c>
      <c r="L5" s="5" t="inlineStr">
        <is>
          <t>Year 10</t>
        </is>
      </c>
    </row>
    <row r="6">
      <c r="B6" s="10" t="inlineStr">
        <is>
          <t>Estimated Total Household Income Uplift (Borrowers x Uplift/Loan)</t>
        </is>
      </c>
      <c r="C6" s="11">
        <f>'Revolving Fund Model'!C9*Assumptions!$C$11</f>
        <v/>
      </c>
      <c r="D6" s="11">
        <f>'Revolving Fund Model'!D9*Assumptions!$C$11</f>
        <v/>
      </c>
      <c r="E6" s="11">
        <f>'Revolving Fund Model'!E9*Assumptions!$C$11</f>
        <v/>
      </c>
      <c r="F6" s="11">
        <f>'Revolving Fund Model'!F9*Assumptions!$C$11</f>
        <v/>
      </c>
      <c r="G6" s="11">
        <f>'Revolving Fund Model'!G9*Assumptions!$C$11</f>
        <v/>
      </c>
      <c r="H6" s="11">
        <f>'Revolving Fund Model'!H9*Assumptions!$C$11</f>
        <v/>
      </c>
      <c r="I6" s="11">
        <f>'Revolving Fund Model'!I9*Assumptions!$C$11</f>
        <v/>
      </c>
      <c r="J6" s="11">
        <f>'Revolving Fund Model'!J9*Assumptions!$C$11</f>
        <v/>
      </c>
      <c r="K6" s="11">
        <f>'Revolving Fund Model'!K9*Assumptions!$C$11</f>
        <v/>
      </c>
      <c r="L6" s="11">
        <f>'Revolving Fund Model'!L9*Assumptions!$C$11</f>
        <v/>
      </c>
    </row>
    <row r="7">
      <c r="B7" s="10" t="inlineStr">
        <is>
          <t>Estimated People Reached (Borrowers x Household Size)</t>
        </is>
      </c>
      <c r="C7" s="11">
        <f>'Revolving Fund Model'!C9*Assumptions!$C$12</f>
        <v/>
      </c>
      <c r="D7" s="11">
        <f>'Revolving Fund Model'!D9*Assumptions!$C$12</f>
        <v/>
      </c>
      <c r="E7" s="11">
        <f>'Revolving Fund Model'!E9*Assumptions!$C$12</f>
        <v/>
      </c>
      <c r="F7" s="11">
        <f>'Revolving Fund Model'!F9*Assumptions!$C$12</f>
        <v/>
      </c>
      <c r="G7" s="11">
        <f>'Revolving Fund Model'!G9*Assumptions!$C$12</f>
        <v/>
      </c>
      <c r="H7" s="11">
        <f>'Revolving Fund Model'!H9*Assumptions!$C$12</f>
        <v/>
      </c>
      <c r="I7" s="11">
        <f>'Revolving Fund Model'!I9*Assumptions!$C$12</f>
        <v/>
      </c>
      <c r="J7" s="11">
        <f>'Revolving Fund Model'!J9*Assumptions!$C$12</f>
        <v/>
      </c>
      <c r="K7" s="11">
        <f>'Revolving Fund Model'!K9*Assumptions!$C$12</f>
        <v/>
      </c>
      <c r="L7" s="11">
        <f>'Revolving Fund Model'!L9*Assumptions!$C$12</f>
        <v/>
      </c>
    </row>
    <row r="8">
      <c r="B8" s="10" t="inlineStr">
        <is>
          <t>Cost if Borrowed from Informal Moneylender Instead (Disbursed x Informal Rate)</t>
        </is>
      </c>
      <c r="C8" s="11">
        <f>'Revolving Fund Model'!C8*Assumptions!$C$13</f>
        <v/>
      </c>
      <c r="D8" s="11">
        <f>'Revolving Fund Model'!D8*Assumptions!$C$13</f>
        <v/>
      </c>
      <c r="E8" s="11">
        <f>'Revolving Fund Model'!E8*Assumptions!$C$13</f>
        <v/>
      </c>
      <c r="F8" s="11">
        <f>'Revolving Fund Model'!F8*Assumptions!$C$13</f>
        <v/>
      </c>
      <c r="G8" s="11">
        <f>'Revolving Fund Model'!G8*Assumptions!$C$13</f>
        <v/>
      </c>
      <c r="H8" s="11">
        <f>'Revolving Fund Model'!H8*Assumptions!$C$13</f>
        <v/>
      </c>
      <c r="I8" s="11">
        <f>'Revolving Fund Model'!I8*Assumptions!$C$13</f>
        <v/>
      </c>
      <c r="J8" s="11">
        <f>'Revolving Fund Model'!J8*Assumptions!$C$13</f>
        <v/>
      </c>
      <c r="K8" s="11">
        <f>'Revolving Fund Model'!K8*Assumptions!$C$13</f>
        <v/>
      </c>
      <c r="L8" s="11">
        <f>'Revolving Fund Model'!L8*Assumptions!$C$13</f>
        <v/>
      </c>
    </row>
    <row r="9">
      <c r="B9" s="10" t="inlineStr">
        <is>
          <t>Actual Cost Paid (Service Fee Only)</t>
        </is>
      </c>
      <c r="C9" s="11">
        <f>'Revolving Fund Model'!C11</f>
        <v/>
      </c>
      <c r="D9" s="11">
        <f>'Revolving Fund Model'!D11</f>
        <v/>
      </c>
      <c r="E9" s="11">
        <f>'Revolving Fund Model'!E11</f>
        <v/>
      </c>
      <c r="F9" s="11">
        <f>'Revolving Fund Model'!F11</f>
        <v/>
      </c>
      <c r="G9" s="11">
        <f>'Revolving Fund Model'!G11</f>
        <v/>
      </c>
      <c r="H9" s="11">
        <f>'Revolving Fund Model'!H11</f>
        <v/>
      </c>
      <c r="I9" s="11">
        <f>'Revolving Fund Model'!I11</f>
        <v/>
      </c>
      <c r="J9" s="11">
        <f>'Revolving Fund Model'!J11</f>
        <v/>
      </c>
      <c r="K9" s="11">
        <f>'Revolving Fund Model'!K11</f>
        <v/>
      </c>
      <c r="L9" s="11">
        <f>'Revolving Fund Model'!L11</f>
        <v/>
      </c>
    </row>
    <row r="10">
      <c r="B10" s="12" t="inlineStr">
        <is>
          <t>INTEREST/COST BURDEN AVOIDED (Informal Cost - Actual Fee)</t>
        </is>
      </c>
      <c r="C10" s="13">
        <f>C8-C9</f>
        <v/>
      </c>
      <c r="D10" s="13">
        <f>D8-D9</f>
        <v/>
      </c>
      <c r="E10" s="13">
        <f>E8-E9</f>
        <v/>
      </c>
      <c r="F10" s="13">
        <f>F8-F9</f>
        <v/>
      </c>
      <c r="G10" s="13">
        <f>G8-G9</f>
        <v/>
      </c>
      <c r="H10" s="13">
        <f>H8-H9</f>
        <v/>
      </c>
      <c r="I10" s="13">
        <f>I8-I9</f>
        <v/>
      </c>
      <c r="J10" s="13">
        <f>J8-J9</f>
        <v/>
      </c>
      <c r="K10" s="13">
        <f>K8-K9</f>
        <v/>
      </c>
      <c r="L10" s="13">
        <f>L8-L9</f>
        <v/>
      </c>
    </row>
    <row r="12">
      <c r="B12" s="12" t="inlineStr">
        <is>
          <t>CUMULATIVE Interest/Cost Burden Avoided (since inception)</t>
        </is>
      </c>
      <c r="C12" s="13">
        <f>C10</f>
        <v/>
      </c>
      <c r="D12" s="13">
        <f>C12+D10</f>
        <v/>
      </c>
      <c r="E12" s="13">
        <f>D12+E10</f>
        <v/>
      </c>
      <c r="F12" s="13">
        <f>E12+F10</f>
        <v/>
      </c>
      <c r="G12" s="13">
        <f>F12+G10</f>
        <v/>
      </c>
      <c r="H12" s="13">
        <f>G12+H10</f>
        <v/>
      </c>
      <c r="I12" s="13">
        <f>H12+I10</f>
        <v/>
      </c>
      <c r="J12" s="13">
        <f>I12+J10</f>
        <v/>
      </c>
      <c r="K12" s="13">
        <f>J12+K10</f>
        <v/>
      </c>
      <c r="L12" s="13">
        <f>K12+L10</f>
        <v/>
      </c>
    </row>
    <row r="13">
      <c r="B13" s="12" t="inlineStr">
        <is>
          <t>CUMULATIVE Estimated Household Income Uplift (since inception)</t>
        </is>
      </c>
      <c r="C13" s="13">
        <f>C6</f>
        <v/>
      </c>
      <c r="D13" s="13">
        <f>C13+D6</f>
        <v/>
      </c>
      <c r="E13" s="13">
        <f>D13+E6</f>
        <v/>
      </c>
      <c r="F13" s="13">
        <f>E13+F6</f>
        <v/>
      </c>
      <c r="G13" s="13">
        <f>F13+G6</f>
        <v/>
      </c>
      <c r="H13" s="13">
        <f>G13+H6</f>
        <v/>
      </c>
      <c r="I13" s="13">
        <f>H13+I6</f>
        <v/>
      </c>
      <c r="J13" s="13">
        <f>I13+J6</f>
        <v/>
      </c>
      <c r="K13" s="13">
        <f>J13+K6</f>
        <v/>
      </c>
      <c r="L13" s="13">
        <f>K13+L6</f>
        <v/>
      </c>
    </row>
    <row r="15">
      <c r="B15" s="10" t="inlineStr">
        <is>
          <t>CUMULATIVE Donations Received (Initial Corpus + Annual Inflows)</t>
        </is>
      </c>
      <c r="C15" s="11">
        <f>Assumptions!$C$5+'Revolving Fund Model'!C6</f>
        <v/>
      </c>
      <c r="D15" s="11">
        <f>C15+'Revolving Fund Model'!D6</f>
        <v/>
      </c>
      <c r="E15" s="11">
        <f>D15+'Revolving Fund Model'!E6</f>
        <v/>
      </c>
      <c r="F15" s="11">
        <f>E15+'Revolving Fund Model'!F6</f>
        <v/>
      </c>
      <c r="G15" s="11">
        <f>F15+'Revolving Fund Model'!G6</f>
        <v/>
      </c>
      <c r="H15" s="11">
        <f>G15+'Revolving Fund Model'!H6</f>
        <v/>
      </c>
      <c r="I15" s="11">
        <f>H15+'Revolving Fund Model'!I6</f>
        <v/>
      </c>
      <c r="J15" s="11">
        <f>I15+'Revolving Fund Model'!J6</f>
        <v/>
      </c>
      <c r="K15" s="11">
        <f>J15+'Revolving Fund Model'!K6</f>
        <v/>
      </c>
      <c r="L15" s="11">
        <f>K15+'Revolving Fund Model'!L6</f>
        <v/>
      </c>
    </row>
    <row r="16">
      <c r="B16" s="10" t="inlineStr">
        <is>
          <t>Social Value Multiplier (Cumulative Interest Avoided + Income Uplift, per PKR Donated)</t>
        </is>
      </c>
      <c r="C16" s="15">
        <f>(C12+C13)/C15</f>
        <v/>
      </c>
      <c r="D16" s="15">
        <f>(D12+D13)/D15</f>
        <v/>
      </c>
      <c r="E16" s="15">
        <f>(E12+E13)/E15</f>
        <v/>
      </c>
      <c r="F16" s="15">
        <f>(F12+F13)/F15</f>
        <v/>
      </c>
      <c r="G16" s="15">
        <f>(G12+G13)/G15</f>
        <v/>
      </c>
      <c r="H16" s="15">
        <f>(H12+H13)/H15</f>
        <v/>
      </c>
      <c r="I16" s="15">
        <f>(I12+I13)/I15</f>
        <v/>
      </c>
      <c r="J16" s="15">
        <f>(J12+J13)/J15</f>
        <v/>
      </c>
      <c r="K16" s="15">
        <f>(K12+K13)/K15</f>
        <v/>
      </c>
      <c r="L16" s="15">
        <f>(L12+L13)/L15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B2"/>
  <sheetViews>
    <sheetView showGridLines="0" workbookViewId="0">
      <selection activeCell="A1" sqref="A1"/>
    </sheetView>
  </sheetViews>
  <sheetFormatPr baseColWidth="8" defaultRowHeight="15"/>
  <cols>
    <col width="3" customWidth="1" min="1" max="1"/>
  </cols>
  <sheetData>
    <row r="2">
      <c r="B2" s="1" t="inlineStr">
        <is>
          <t>Impact Dashboard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B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>
      <c r="B2" s="1" t="inlineStr">
        <is>
          <t>Key Findings &amp; Recommendations</t>
        </is>
      </c>
    </row>
    <row r="4">
      <c r="B4" s="16" t="inlineStr">
        <is>
          <t>1. THE REVOLVING STRUCTURE IS SELF-REINFORCING: the Self-Sustainability Ratio stays above 100% every year in this</t>
        </is>
      </c>
    </row>
    <row r="5">
      <c r="B5" s="16" t="inlineStr">
        <is>
          <t xml:space="preserve">   model (service fees plus recovered principal exceed what was lent out even after write-offs), meaning the fund</t>
        </is>
      </c>
    </row>
    <row r="6">
      <c r="B6" s="16" t="inlineStr">
        <is>
          <t xml:space="preserve">   grows on its own operating economics BEFORE counting new donations - donations accelerate growth and reach,</t>
        </is>
      </c>
    </row>
    <row r="7">
      <c r="B7" s="16" t="inlineStr">
        <is>
          <t xml:space="preserve">   but the fund is not dependent on them to survive, which is the central design insight behind why Akhuwat-style</t>
        </is>
      </c>
    </row>
    <row r="8">
      <c r="B8" s="16" t="inlineStr">
        <is>
          <t xml:space="preserve">   Qard-e-Hasan funds can scale nationally rather than staying a small, donor-dependent charity.</t>
        </is>
      </c>
    </row>
    <row r="9">
      <c r="B9" s="16" t="inlineStr">
        <is>
          <t>2. A LOW DEFAULT RATE IS THE MODEL'S LOAD-BEARING ASSUMPTION: because there is no interest income to absorb</t>
        </is>
      </c>
    </row>
    <row r="10">
      <c r="B10" s="16" t="inlineStr">
        <is>
          <t xml:space="preserve">   losses, sustainability depends much more heavily on keeping write-offs low than a conventional lender's model</t>
        </is>
      </c>
    </row>
    <row r="11">
      <c r="B11" s="16" t="inlineStr">
        <is>
          <t xml:space="preserve">   does - which is exactly why Akhuwat's mosque-based, social-collateral disbursement model (peer/community</t>
        </is>
      </c>
    </row>
    <row r="12">
      <c r="B12" s="16" t="inlineStr">
        <is>
          <t xml:space="preserve">   accountability rather than collateral) is not an incidental cultural detail but the financial engine that makes</t>
        </is>
      </c>
    </row>
    <row r="13">
      <c r="B13" s="16" t="inlineStr">
        <is>
          <t xml:space="preserve">   interest-free lending viable at scale.</t>
        </is>
      </c>
    </row>
    <row r="14">
      <c r="B14" s="16" t="inlineStr">
        <is>
          <t>3. THE INTEREST-AVOIDED METRIC IS THE MOST DISTINCTIVE OUTPUT OF THIS MODEL: borrowers pay a one-time ~5% service</t>
        </is>
      </c>
    </row>
    <row r="15">
      <c r="B15" s="16" t="inlineStr">
        <is>
          <t xml:space="preserve">   fee instead of what an informal moneylender would typically charge (illustratively ~60% a year) for the same</t>
        </is>
      </c>
    </row>
    <row r="16">
      <c r="B16" s="16" t="inlineStr">
        <is>
          <t xml:space="preserve">   loan - a large, quantifiable welfare transfer that a conventional microfinance cost/benefit analysis (Project 7)</t>
        </is>
      </c>
    </row>
    <row r="17">
      <c r="B17" s="16" t="inlineStr">
        <is>
          <t xml:space="preserve">   does not measure, because conventional microfinance is being compared to formal-sector alternatives, not to the</t>
        </is>
      </c>
    </row>
    <row r="18">
      <c r="B18" s="16" t="inlineStr">
        <is>
          <t xml:space="preserve">   informal-lender counterfactual most of these borrowers actually face.</t>
        </is>
      </c>
    </row>
    <row r="19">
      <c r="B19" s="16" t="inlineStr">
        <is>
          <t>4. THE SOCIAL VALUE MULTIPLIER (cumulative welfare generated per PKR ever donated) grows over the 10-year window,</t>
        </is>
      </c>
    </row>
    <row r="20">
      <c r="B20" s="16" t="inlineStr">
        <is>
          <t xml:space="preserve">   illustrating why patient philanthropic capital deployed as a REVOLVING fund - rather than a one-time cash grant</t>
        </is>
      </c>
    </row>
    <row r="21">
      <c r="B21" s="16" t="inlineStr">
        <is>
          <t xml:space="preserve">   - can be a far more capital-efficient development-finance tool over a long horizon.</t>
        </is>
      </c>
    </row>
    <row r="22">
      <c r="B22" s="16" t="inlineStr"/>
    </row>
    <row r="23">
      <c r="B23" s="16" t="inlineStr">
        <is>
          <t>WHY THIS PROJECT ROUNDS OUT THE PORTFOLIO</t>
        </is>
      </c>
    </row>
    <row r="24">
      <c r="B24" s="16" t="inlineStr">
        <is>
          <t>Every other project in this portfolio (Projects 1-9) works within conventional or Islamic-window commercial</t>
        </is>
      </c>
    </row>
    <row r="25">
      <c r="B25" s="16" t="inlineStr">
        <is>
          <t>finance. This one models a THIRD sector - Islamic social finance/waqf-based philanthropy - that is distinctively</t>
        </is>
      </c>
    </row>
    <row r="26">
      <c r="B26" s="16" t="inlineStr">
        <is>
          <t>Pakistani in its scale and success (Akhuwat is one of the world's largest interest-free microfinance programmes)</t>
        </is>
      </c>
    </row>
    <row r="27">
      <c r="B27" s="16" t="inlineStr">
        <is>
          <t>and directly relevant to a Chevening applicant's interest in inclusive development finance: it shows the same</t>
        </is>
      </c>
    </row>
    <row r="28">
      <c r="B28" s="16" t="inlineStr">
        <is>
          <t>financial-modelling toolkit used across this portfolio applied to a mission-driven institution, not just a</t>
        </is>
      </c>
    </row>
    <row r="29">
      <c r="B29" s="16" t="inlineStr">
        <is>
          <t>profit-maximising one.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2026-09-13T12:30:30Z</dcterms:created>
  <dcterms:modified xsi:type="dcterms:W3CDTF">2026-09-13T12:30:30Z</dcterms:modified>
</cp:coreProperties>
</file>