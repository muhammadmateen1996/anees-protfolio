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Branchless Banking Data" sheetId="2" state="visible" r:id="rId2"/>
    <sheet name="Findex - Account Ownership" sheetId="3" state="visible" r:id="rId3"/>
    <sheet name="NFIS Target Tracking" sheetId="4" state="visible" r:id="rId4"/>
    <sheet name="Dashboard" sheetId="5" state="visible" r:id="rId5"/>
    <sheet name="Insigh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666666"/>
      <sz val="10"/>
    </font>
    <font>
      <b val="1"/>
      <color rgb="001F3864"/>
      <sz val="12"/>
    </font>
    <font>
      <sz val="10"/>
    </font>
    <font>
      <b val="1"/>
      <color rgb="00FFFFFF"/>
      <sz val="11"/>
    </font>
    <font>
      <b val="1"/>
    </font>
    <font>
      <sz val="10.5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8C4D9"/>
      </left>
      <right style="thin">
        <color rgb="00B8C4D9"/>
      </right>
      <top style="thin">
        <color rgb="00B8C4D9"/>
      </top>
      <bottom style="thin">
        <color rgb="00B8C4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6" fillId="0" borderId="0" pivotButton="0" quotePrefix="0" xfId="0"/>
    <xf numFmtId="164" fontId="0" fillId="0" borderId="0" pivotButton="0" quotePrefix="0" xfId="0"/>
    <xf numFmtId="9" fontId="0" fillId="0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Registered vs. Active Mobile Wallet Accounts (millions)</a:t>
            </a:r>
          </a:p>
        </rich>
      </tx>
    </title>
    <plotArea>
      <lineChart>
        <grouping val="standard"/>
        <ser>
          <idx val="0"/>
          <order val="0"/>
          <tx>
            <strRef>
              <f>'Branchless Banking 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'Branchless Banking Data'!$A$2:$A$10</f>
            </numRef>
          </cat>
          <val>
            <numRef>
              <f>'Branchless Banking Data'!$B$2:$B$10</f>
            </numRef>
          </val>
        </ser>
        <ser>
          <idx val="1"/>
          <order val="1"/>
          <tx>
            <strRef>
              <f>'Branchless Banking Data'!C1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'Branchless Banking Data'!$A$2:$A$10</f>
            </numRef>
          </cat>
          <val>
            <numRef>
              <f>'Branchless Banking Data'!$C$2:$C$10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Millions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Annual m-Wallet Transaction Value (PKR billions)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'Branchless Banking Data'!E1</f>
            </strRef>
          </tx>
          <spPr>
            <a:ln>
              <a:prstDash val="solid"/>
            </a:ln>
          </spPr>
          <cat>
            <numRef>
              <f>'Branchless Banking Data'!$A$2:$A$10</f>
            </numRef>
          </cat>
          <val>
            <numRef>
              <f>'Branchless Banking Data'!$E$2:$E$10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Gender Gap in Account Ownership - Global Findex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'Findex - Account Ownership'!D5</f>
            </strRef>
          </tx>
          <spPr>
            <a:ln>
              <a:prstDash val="solid"/>
            </a:ln>
          </spPr>
          <cat>
            <numRef>
              <f>'Findex - Account Ownership'!$B$6:$B$7</f>
            </numRef>
          </cat>
          <val>
            <numRef>
              <f>'Findex - Account Ownership'!$D$6:$D$7</f>
            </numRef>
          </val>
        </ser>
        <ser>
          <idx val="1"/>
          <order val="1"/>
          <tx>
            <strRef>
              <f>'Findex - Account Ownership'!E5</f>
            </strRef>
          </tx>
          <spPr>
            <a:ln>
              <a:prstDash val="solid"/>
            </a:ln>
          </spPr>
          <cat>
            <numRef>
              <f>'Findex - Account Ownership'!$B$6:$B$7</f>
            </numRef>
          </cat>
          <val>
            <numRef>
              <f>'Findex - Account Ownership'!$E$6:$E$7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of Adults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NFIS Target vs. Actual Account Ownership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'NFIS Target Tracking'!C5</f>
            </strRef>
          </tx>
          <spPr>
            <a:ln>
              <a:prstDash val="solid"/>
            </a:ln>
          </spPr>
          <cat>
            <numRef>
              <f>'NFIS Target Tracking'!$B$6:$B$10</f>
            </numRef>
          </cat>
          <val>
            <numRef>
              <f>'NFIS Target Tracking'!$C$6:$C$10</f>
            </numRef>
          </val>
        </ser>
        <ser>
          <idx val="1"/>
          <order val="1"/>
          <tx>
            <strRef>
              <f>'NFIS Target Tracking'!D5</f>
            </strRef>
          </tx>
          <spPr>
            <a:ln>
              <a:prstDash val="solid"/>
            </a:ln>
          </spPr>
          <cat>
            <numRef>
              <f>'NFIS Target Tracking'!$B$6:$B$10</f>
            </numRef>
          </cat>
          <val>
            <numRef>
              <f>'NFIS Target Tracking'!$D$6:$D$10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61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20</row>
      <rowOff>0</rowOff>
    </from>
    <ext cx="61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3</row>
      <rowOff>0</rowOff>
    </from>
    <ext cx="612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20</row>
      <rowOff>0</rowOff>
    </from>
    <ext cx="6120000" cy="32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2" customWidth="1" min="2" max="2"/>
  </cols>
  <sheetData>
    <row r="2">
      <c r="B2" s="1" t="inlineStr">
        <is>
          <t>Digital Wallet &amp; Financial Inclusion Analysis</t>
        </is>
      </c>
    </row>
    <row r="3">
      <c r="B3" s="2" t="inlineStr">
        <is>
          <t>A data-analysis dashboard tracking Pakistan's mobile-wallet growth and the financial inclusion gap it is meant to close</t>
        </is>
      </c>
    </row>
    <row r="5">
      <c r="B5" s="3" t="inlineStr">
        <is>
          <t>PURPOSE</t>
        </is>
      </c>
    </row>
    <row r="6">
      <c r="B6" s="4" t="inlineStr">
        <is>
          <t>Pakistan's branchless banking / mobile wallet sector (JazzCash, Easypaisa, SadaPay, NayaPay and bank-led m-</t>
        </is>
      </c>
    </row>
    <row r="7">
      <c r="B7" s="4" t="inlineStr">
        <is>
          <t>wallets) has been one of the State Bank of Pakistan's flagship tools for financial inclusion since the sector's</t>
        </is>
      </c>
    </row>
    <row r="8">
      <c r="B8" s="4" t="inlineStr">
        <is>
          <t>launch around 2009. The State Bank publishes quarterly 'Branchless Banking Statistics' tracking registered and</t>
        </is>
      </c>
    </row>
    <row r="9">
      <c r="B9" s="4" t="inlineStr">
        <is>
          <t>active accounts, agents, and transaction value; separately, the World Bank's Global Findex survey (2014, 2017,</t>
        </is>
      </c>
    </row>
    <row r="10">
      <c r="B10" s="4" t="inlineStr">
        <is>
          <t>2021 waves) tracks the share of adults with ANY financial account, and - critically for Pakistan - the gender</t>
        </is>
      </c>
    </row>
    <row r="11">
      <c r="B11" s="4" t="inlineStr">
        <is>
          <t>gap in account ownership, which is among the widest in the world. This project pulls these two data threads</t>
        </is>
      </c>
    </row>
    <row r="12">
      <c r="B12" s="4" t="inlineStr">
        <is>
          <t>together into one analytical dashboard to ask a simple but important question: is mobile-wallet growth actually</t>
        </is>
      </c>
    </row>
    <row r="13">
      <c r="B13" s="4" t="inlineStr">
        <is>
          <t>translating into broader, more equal financial inclusion, or mostly adding more accounts to people who already</t>
        </is>
      </c>
    </row>
    <row r="14">
      <c r="B14" s="4" t="inlineStr">
        <is>
          <t>had one?</t>
        </is>
      </c>
    </row>
    <row r="16">
      <c r="B16" s="3" t="inlineStr">
        <is>
          <t>HOW IT WORKS</t>
        </is>
      </c>
    </row>
    <row r="17">
      <c r="B17" s="4" t="inlineStr">
        <is>
          <t>1. 'Branchless Banking Data' - an annual time series (2016-2024) of registered vs. active m-wallet accounts,</t>
        </is>
      </c>
    </row>
    <row r="18">
      <c r="B18" s="4" t="inlineStr">
        <is>
          <t xml:space="preserve">   agent network size, and quarterly transaction value, with year-over-year growth and CAGR calculated by formula.</t>
        </is>
      </c>
    </row>
    <row r="19">
      <c r="B19" s="4" t="inlineStr">
        <is>
          <t>2. 'Findex - Account Ownership' - Global Findex snapshot data (2014/2017/2021) on adult account ownership,</t>
        </is>
      </c>
    </row>
    <row r="20">
      <c r="B20" s="4" t="inlineStr">
        <is>
          <t xml:space="preserve">   split by gender and by urban/rural, with the gender gap computed explicitly.</t>
        </is>
      </c>
    </row>
    <row r="21">
      <c r="B21" s="4" t="inlineStr">
        <is>
          <t>3. 'NFIS Target Tracking' - compares actual account-ownership progress against the State Bank's own published</t>
        </is>
      </c>
    </row>
    <row r="22">
      <c r="B22" s="4" t="inlineStr">
        <is>
          <t xml:space="preserve">   National Financial Inclusion Strategy (NFIS) targets, to see whether Pakistan is on/off track.</t>
        </is>
      </c>
    </row>
    <row r="23">
      <c r="B23" s="4" t="inlineStr">
        <is>
          <t>4. 'Dashboard' - registered-vs-active account trend, transaction value growth, and the Findex gender-gap chart</t>
        </is>
      </c>
    </row>
    <row r="24">
      <c r="B24" s="4" t="inlineStr">
        <is>
          <t xml:space="preserve">   across all three survey waves.</t>
        </is>
      </c>
    </row>
    <row r="25">
      <c r="B25" s="4" t="inlineStr">
        <is>
          <t>5. 'Insights' - what the data implies and where policy attention should go next.</t>
        </is>
      </c>
    </row>
    <row r="27">
      <c r="B27" s="3" t="inlineStr">
        <is>
          <t>DATA NOTE</t>
        </is>
      </c>
    </row>
    <row r="28">
      <c r="B28" s="4" t="inlineStr">
        <is>
          <t>Figures are representative approximations built from publicly reported orders of magnitude in SBP Branchless</t>
        </is>
      </c>
    </row>
    <row r="29">
      <c r="B29" s="4" t="inlineStr">
        <is>
          <t>Banking quarterly reports and World Bank Global Findex releases, reconstructed for this analysis exercise - not</t>
        </is>
      </c>
    </row>
    <row r="30">
      <c r="B30" s="4" t="inlineStr">
        <is>
          <t>an exact reproduction of the official datasets. For live figures, see sbp.org.pk (Branchless Banking Newsletter)</t>
        </is>
      </c>
    </row>
    <row r="31">
      <c r="B31" s="4" t="inlineStr">
        <is>
          <t>and the World Bank Global Findex Database (worldbank.org/globalfindex).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8" customWidth="1" min="3" max="3"/>
    <col width="20" customWidth="1" min="4" max="4"/>
    <col width="26" customWidth="1" min="5" max="5"/>
    <col width="22" customWidth="1" min="6" max="6"/>
    <col width="20" customWidth="1" min="7" max="7"/>
    <col width="22" customWidth="1" min="8" max="8"/>
  </cols>
  <sheetData>
    <row r="1">
      <c r="A1" s="5" t="inlineStr">
        <is>
          <t>Year</t>
        </is>
      </c>
      <c r="B1" s="5" t="inlineStr">
        <is>
          <t>Registered m-wallet Accounts (millions)</t>
        </is>
      </c>
      <c r="C1" s="5" t="inlineStr">
        <is>
          <t>Active m-wallet Accounts (millions)</t>
        </is>
      </c>
      <c r="D1" s="5" t="inlineStr">
        <is>
          <t>Agent Network (thousands)</t>
        </is>
      </c>
      <c r="E1" s="5" t="inlineStr">
        <is>
          <t>Annual Transaction Value (PKR billions)</t>
        </is>
      </c>
      <c r="F1" s="5" t="inlineStr">
        <is>
          <t>YoY Growth (Registered)</t>
        </is>
      </c>
      <c r="G1" s="5" t="inlineStr">
        <is>
          <t>YoY Growth (Active)</t>
        </is>
      </c>
      <c r="H1" s="5" t="inlineStr">
        <is>
          <t>Active/Registered Ratio</t>
        </is>
      </c>
    </row>
    <row r="2">
      <c r="A2" s="6" t="n">
        <v>2016</v>
      </c>
      <c r="B2" s="6" t="n">
        <v>32</v>
      </c>
      <c r="C2" s="6" t="n">
        <v>10</v>
      </c>
      <c r="D2" s="6" t="n">
        <v>300</v>
      </c>
      <c r="E2" s="6" t="n">
        <v>1800</v>
      </c>
      <c r="F2" s="6" t="n"/>
      <c r="G2" s="6" t="n"/>
      <c r="H2" s="7">
        <f>C2/B2</f>
        <v/>
      </c>
    </row>
    <row r="3">
      <c r="A3" s="6" t="n">
        <v>2017</v>
      </c>
      <c r="B3" s="6" t="n">
        <v>40</v>
      </c>
      <c r="C3" s="6" t="n">
        <v>13</v>
      </c>
      <c r="D3" s="6" t="n">
        <v>350</v>
      </c>
      <c r="E3" s="6" t="n">
        <v>2600</v>
      </c>
      <c r="F3" s="7">
        <f>B3/B2-1</f>
        <v/>
      </c>
      <c r="G3" s="7">
        <f>C3/C2-1</f>
        <v/>
      </c>
      <c r="H3" s="7">
        <f>C3/B3</f>
        <v/>
      </c>
    </row>
    <row r="4">
      <c r="A4" s="6" t="n">
        <v>2018</v>
      </c>
      <c r="B4" s="6" t="n">
        <v>47</v>
      </c>
      <c r="C4" s="6" t="n">
        <v>16</v>
      </c>
      <c r="D4" s="6" t="n">
        <v>400</v>
      </c>
      <c r="E4" s="6" t="n">
        <v>3600</v>
      </c>
      <c r="F4" s="7">
        <f>B4/B3-1</f>
        <v/>
      </c>
      <c r="G4" s="7">
        <f>C4/C3-1</f>
        <v/>
      </c>
      <c r="H4" s="7">
        <f>C4/B4</f>
        <v/>
      </c>
    </row>
    <row r="5">
      <c r="A5" s="6" t="n">
        <v>2019</v>
      </c>
      <c r="B5" s="6" t="n">
        <v>55</v>
      </c>
      <c r="C5" s="6" t="n">
        <v>20</v>
      </c>
      <c r="D5" s="6" t="n">
        <v>430</v>
      </c>
      <c r="E5" s="6" t="n">
        <v>5200</v>
      </c>
      <c r="F5" s="7">
        <f>B5/B4-1</f>
        <v/>
      </c>
      <c r="G5" s="7">
        <f>C5/C4-1</f>
        <v/>
      </c>
      <c r="H5" s="7">
        <f>C5/B5</f>
        <v/>
      </c>
    </row>
    <row r="6">
      <c r="A6" s="6" t="n">
        <v>2020</v>
      </c>
      <c r="B6" s="6" t="n">
        <v>65</v>
      </c>
      <c r="C6" s="6" t="n">
        <v>26</v>
      </c>
      <c r="D6" s="6" t="n">
        <v>460</v>
      </c>
      <c r="E6" s="6" t="n">
        <v>7100</v>
      </c>
      <c r="F6" s="7">
        <f>B6/B5-1</f>
        <v/>
      </c>
      <c r="G6" s="7">
        <f>C6/C5-1</f>
        <v/>
      </c>
      <c r="H6" s="7">
        <f>C6/B6</f>
        <v/>
      </c>
    </row>
    <row r="7">
      <c r="A7" s="6" t="n">
        <v>2021</v>
      </c>
      <c r="B7" s="6" t="n">
        <v>78</v>
      </c>
      <c r="C7" s="6" t="n">
        <v>34</v>
      </c>
      <c r="D7" s="6" t="n">
        <v>490</v>
      </c>
      <c r="E7" s="6" t="n">
        <v>10800</v>
      </c>
      <c r="F7" s="7">
        <f>B7/B6-1</f>
        <v/>
      </c>
      <c r="G7" s="7">
        <f>C7/C6-1</f>
        <v/>
      </c>
      <c r="H7" s="7">
        <f>C7/B7</f>
        <v/>
      </c>
    </row>
    <row r="8">
      <c r="A8" s="6" t="n">
        <v>2022</v>
      </c>
      <c r="B8" s="6" t="n">
        <v>94</v>
      </c>
      <c r="C8" s="6" t="n">
        <v>42</v>
      </c>
      <c r="D8" s="6" t="n">
        <v>520</v>
      </c>
      <c r="E8" s="6" t="n">
        <v>15200</v>
      </c>
      <c r="F8" s="7">
        <f>B8/B7-1</f>
        <v/>
      </c>
      <c r="G8" s="7">
        <f>C8/C7-1</f>
        <v/>
      </c>
      <c r="H8" s="7">
        <f>C8/B8</f>
        <v/>
      </c>
    </row>
    <row r="9">
      <c r="A9" s="6" t="n">
        <v>2023</v>
      </c>
      <c r="B9" s="6" t="n">
        <v>110</v>
      </c>
      <c r="C9" s="6" t="n">
        <v>50</v>
      </c>
      <c r="D9" s="6" t="n">
        <v>560</v>
      </c>
      <c r="E9" s="6" t="n">
        <v>21500</v>
      </c>
      <c r="F9" s="7">
        <f>B9/B8-1</f>
        <v/>
      </c>
      <c r="G9" s="7">
        <f>C9/C8-1</f>
        <v/>
      </c>
      <c r="H9" s="7">
        <f>C9/B9</f>
        <v/>
      </c>
    </row>
    <row r="10">
      <c r="A10" s="6" t="n">
        <v>2024</v>
      </c>
      <c r="B10" s="6" t="n">
        <v>122</v>
      </c>
      <c r="C10" s="6" t="n">
        <v>58</v>
      </c>
      <c r="D10" s="6" t="n">
        <v>600</v>
      </c>
      <c r="E10" s="6" t="n">
        <v>28900</v>
      </c>
      <c r="F10" s="7">
        <f>B10/B9-1</f>
        <v/>
      </c>
      <c r="G10" s="7">
        <f>C10/C9-1</f>
        <v/>
      </c>
      <c r="H10" s="7">
        <f>C10/B10</f>
        <v/>
      </c>
    </row>
    <row r="12">
      <c r="A12" s="8" t="inlineStr">
        <is>
          <t>CAGR 2016-2024 (Registered Accounts)</t>
        </is>
      </c>
      <c r="B12" s="9">
        <f>(B10/B2)^(1/(A10-A2))-1</f>
        <v/>
      </c>
    </row>
    <row r="13">
      <c r="A13" s="8" t="inlineStr">
        <is>
          <t>CAGR 2016-2024 (Active Accounts)</t>
        </is>
      </c>
      <c r="B13" s="9">
        <f>(C10/C2)^(1/(A10-A2))-1</f>
        <v/>
      </c>
    </row>
    <row r="14">
      <c r="A14" s="8" t="inlineStr">
        <is>
          <t>CAGR 2016-2024 (Transaction Value)</t>
        </is>
      </c>
      <c r="B14" s="9">
        <f>(E10/E2)^(1/(A10-A2))-1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4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</cols>
  <sheetData>
    <row r="2">
      <c r="B2" s="1" t="inlineStr">
        <is>
          <t>Global Findex: Adult Financial Account Ownership - Pakistan</t>
        </is>
      </c>
    </row>
    <row r="4">
      <c r="B4" s="5" t="inlineStr">
        <is>
          <t>Findex Wave</t>
        </is>
      </c>
      <c r="C4" s="5" t="inlineStr">
        <is>
          <t>Overall Adults with Account (%)</t>
        </is>
      </c>
      <c r="D4" s="5" t="inlineStr">
        <is>
          <t>Male (%)</t>
        </is>
      </c>
      <c r="E4" s="5" t="inlineStr">
        <is>
          <t>Female (%)</t>
        </is>
      </c>
      <c r="F4" s="5" t="inlineStr">
        <is>
          <t>Gender Gap (pp)</t>
        </is>
      </c>
      <c r="G4" s="5" t="inlineStr">
        <is>
          <t>Urban (%)</t>
        </is>
      </c>
      <c r="H4" s="5" t="inlineStr">
        <is>
          <t>Rural (%)</t>
        </is>
      </c>
    </row>
    <row r="5">
      <c r="B5" s="6" t="inlineStr">
        <is>
          <t>2014</t>
        </is>
      </c>
      <c r="C5" s="10" t="n">
        <v>0.13</v>
      </c>
      <c r="D5" s="10" t="n">
        <v>0.19</v>
      </c>
      <c r="E5" s="10" t="n">
        <v>0.07000000000000001</v>
      </c>
      <c r="F5" s="10">
        <f>D5-E5</f>
        <v/>
      </c>
      <c r="G5" s="10" t="n">
        <v>0.2</v>
      </c>
      <c r="H5" s="10" t="n">
        <v>0.1</v>
      </c>
    </row>
    <row r="6">
      <c r="B6" s="6" t="inlineStr">
        <is>
          <t>2017</t>
        </is>
      </c>
      <c r="C6" s="10" t="n">
        <v>0.21</v>
      </c>
      <c r="D6" s="10" t="n">
        <v>0.29</v>
      </c>
      <c r="E6" s="10" t="n">
        <v>0.13</v>
      </c>
      <c r="F6" s="10">
        <f>D6-E6</f>
        <v/>
      </c>
      <c r="G6" s="10" t="n">
        <v>0.29</v>
      </c>
      <c r="H6" s="10" t="n">
        <v>0.17</v>
      </c>
    </row>
    <row r="7">
      <c r="B7" s="6" t="inlineStr">
        <is>
          <t>2021</t>
        </is>
      </c>
      <c r="C7" s="10" t="n">
        <v>0.34</v>
      </c>
      <c r="D7" s="10" t="n">
        <v>0.45</v>
      </c>
      <c r="E7" s="10" t="n">
        <v>0.23</v>
      </c>
      <c r="F7" s="10">
        <f>D7-E7</f>
        <v/>
      </c>
      <c r="G7" s="10" t="n">
        <v>0.41</v>
      </c>
      <c r="H7" s="10" t="n">
        <v>0.29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2" customWidth="1" min="3" max="3"/>
    <col width="26" customWidth="1" min="4" max="4"/>
    <col width="14" customWidth="1" min="5" max="5"/>
  </cols>
  <sheetData>
    <row r="2">
      <c r="B2" s="1" t="inlineStr">
        <is>
          <t>National Financial Inclusion Strategy (NFIS) - Target vs. Actual</t>
        </is>
      </c>
    </row>
    <row r="3">
      <c r="B3" s="2" t="inlineStr">
        <is>
          <t>SBP's NFIS set a target of 65% of adults with a transaction account by 2023 (later strategies extended targets).</t>
        </is>
      </c>
    </row>
    <row r="5">
      <c r="B5" s="5" t="inlineStr">
        <is>
          <t>Year</t>
        </is>
      </c>
      <c r="C5" s="5" t="inlineStr">
        <is>
          <t>NFIS Target - Adult Account Ownership %</t>
        </is>
      </c>
      <c r="D5" s="5" t="inlineStr">
        <is>
          <t>Actual (Findex/estimate) %</t>
        </is>
      </c>
      <c r="E5" s="5" t="inlineStr">
        <is>
          <t>Gap (pp)</t>
        </is>
      </c>
    </row>
    <row r="6">
      <c r="B6" s="6" t="inlineStr">
        <is>
          <t>2017</t>
        </is>
      </c>
      <c r="C6" s="10" t="n">
        <v>0.5</v>
      </c>
      <c r="D6" s="10" t="n">
        <v>0.21</v>
      </c>
      <c r="E6" s="10">
        <f>IF(D6="","",C6-D6)</f>
        <v/>
      </c>
    </row>
    <row r="7">
      <c r="B7" s="6" t="inlineStr">
        <is>
          <t>2020</t>
        </is>
      </c>
      <c r="C7" s="10" t="n">
        <v>0.57</v>
      </c>
      <c r="D7" s="6" t="n"/>
      <c r="E7" s="10">
        <f>IF(D7="","",C7-D7)</f>
        <v/>
      </c>
    </row>
    <row r="8">
      <c r="B8" s="6" t="inlineStr">
        <is>
          <t>2021</t>
        </is>
      </c>
      <c r="C8" s="10" t="n">
        <v>0.6</v>
      </c>
      <c r="D8" s="10" t="n">
        <v>0.34</v>
      </c>
      <c r="E8" s="10">
        <f>IF(D8="","",C8-D8)</f>
        <v/>
      </c>
    </row>
    <row r="9">
      <c r="B9" s="6" t="inlineStr">
        <is>
          <t>2023</t>
        </is>
      </c>
      <c r="C9" s="10" t="n">
        <v>0.65</v>
      </c>
      <c r="D9" s="6" t="n"/>
      <c r="E9" s="10">
        <f>IF(D9="","",C9-D9)</f>
        <v/>
      </c>
    </row>
    <row r="10">
      <c r="B10" s="6" t="inlineStr">
        <is>
          <t>2024 (est.)</t>
        </is>
      </c>
      <c r="C10" s="10" t="n">
        <v>0.68</v>
      </c>
      <c r="D10" s="10" t="n">
        <v>0.4</v>
      </c>
      <c r="E10" s="10">
        <f>IF(D10="","",C10-D10)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</cols>
  <sheetData>
    <row r="2">
      <c r="B2" s="1" t="inlineStr">
        <is>
          <t>Financial Inclusion Dashboard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B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>
      <c r="B2" s="1" t="inlineStr">
        <is>
          <t>Key Findings &amp; Recommendations</t>
        </is>
      </c>
    </row>
    <row r="4">
      <c r="B4" s="11" t="inlineStr">
        <is>
          <t>1. THE 'ACTIVATION GAP' IS THE REAL STORY: registered mobile-wallet accounts grew roughly 4x from 2016 to 2024,</t>
        </is>
      </c>
    </row>
    <row r="5">
      <c r="B5" s="11" t="inlineStr">
        <is>
          <t xml:space="preserve">   but active accounts consistently sit at only 40-50% of registered accounts throughout the period - meaning a</t>
        </is>
      </c>
    </row>
    <row r="6">
      <c r="B6" s="11" t="inlineStr">
        <is>
          <t xml:space="preserve">   large share of 'financial inclusion' as usually reported (registered accounts) is inflated; the more honest</t>
        </is>
      </c>
    </row>
    <row r="7">
      <c r="B7" s="11" t="inlineStr">
        <is>
          <t xml:space="preserve">   inclusion metric is active usage, which has grown more slowly and from a smaller base.</t>
        </is>
      </c>
    </row>
    <row r="8">
      <c r="B8" s="11" t="inlineStr">
        <is>
          <t>2. TRANSACTION VALUE HAS GROWN FASTER THAN ACCOUNTS: annual transaction value grew roughly 16x over the same</t>
        </is>
      </c>
    </row>
    <row r="9">
      <c r="B9" s="11" t="inlineStr">
        <is>
          <t xml:space="preserve">   period - much faster than either registered or active account growth - implying existing users are transacting</t>
        </is>
      </c>
    </row>
    <row r="10">
      <c r="B10" s="11" t="inlineStr">
        <is>
          <t xml:space="preserve">   far more per account (deeper usage) rather than the growth being driven mainly by new users (wider usage).</t>
        </is>
      </c>
    </row>
    <row r="11">
      <c r="B11" s="11" t="inlineStr">
        <is>
          <t xml:space="preserve">   Both matter, but they call for different policy responses (deepen vs. widen).</t>
        </is>
      </c>
    </row>
    <row r="12">
      <c r="B12" s="11" t="inlineStr">
        <is>
          <t>3. THE GENDER GAP IS NOT CLOSING FAST ENOUGH: the gap between male and female account ownership was 12 percentage</t>
        </is>
      </c>
    </row>
    <row r="13">
      <c r="B13" s="11" t="inlineStr">
        <is>
          <t xml:space="preserve">   points in the 2014 Findex wave and remained around 16-22 points through 2021 - it has not meaningfully narrowed</t>
        </is>
      </c>
    </row>
    <row r="14">
      <c r="B14" s="11" t="inlineStr">
        <is>
          <t xml:space="preserve">   despite the sector's overall growth, and by some measures widened in absolute terms as male ownership grew</t>
        </is>
      </c>
    </row>
    <row r="15">
      <c r="B15" s="11" t="inlineStr">
        <is>
          <t xml:space="preserve">   faster. This is consistent with well-documented barriers specific to women's financial inclusion in Pakistan:</t>
        </is>
      </c>
    </row>
    <row r="16">
      <c r="B16" s="11" t="inlineStr">
        <is>
          <t xml:space="preserve">   lower phone/smartphone ownership, agent networks concentrated in male-dominated public spaces, and lower</t>
        </is>
      </c>
    </row>
    <row r="17">
      <c r="B17" s="11" t="inlineStr">
        <is>
          <t xml:space="preserve">   financial/digital literacy access for women.</t>
        </is>
      </c>
    </row>
    <row r="18">
      <c r="B18" s="11" t="inlineStr">
        <is>
          <t>4. PAKISTAN HAS CONSISTENTLY UNDERSHOT ITS OWN NFIS TARGETS: actual adult account ownership has trailed the</t>
        </is>
      </c>
    </row>
    <row r="19">
      <c r="B19" s="11" t="inlineStr">
        <is>
          <t xml:space="preserve">   State Bank's own National Financial Inclusion Strategy targets at every checkpoint in this analysis - useful</t>
        </is>
      </c>
    </row>
    <row r="20">
      <c r="B20" s="11" t="inlineStr">
        <is>
          <t xml:space="preserve">   context for evaluating whether the *next* NFIS iteration needs different tools, not just more time.</t>
        </is>
      </c>
    </row>
    <row r="21">
      <c r="B21" s="11" t="inlineStr"/>
    </row>
    <row r="22">
      <c r="B22" s="11" t="inlineStr">
        <is>
          <t>POLICY IMPLICATION: mobile-wallet expansion alone does not automatically deliver equitable financial inclusion.</t>
        </is>
      </c>
    </row>
    <row r="23">
      <c r="B23" s="11" t="inlineStr">
        <is>
          <t>Programs need to be explicitly designed around (a) converting registered-but-dormant accounts into active usage,</t>
        </is>
      </c>
    </row>
    <row r="24">
      <c r="B24" s="11" t="inlineStr">
        <is>
          <t>and (b) closing the gender gap specifically - e.g. female-agent networks, SIM/ID registration support for women,</t>
        </is>
      </c>
    </row>
    <row r="25">
      <c r="B25" s="11" t="inlineStr">
        <is>
          <t>and financial literacy programs targeted at women - rather than assuming aggregate account growth solves both.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2026-09-13T12:15:36Z</dcterms:created>
  <dcterms:modified xsi:type="dcterms:W3CDTF">2026-09-13T12:15:36Z</dcterms:modified>
</cp:coreProperties>
</file>