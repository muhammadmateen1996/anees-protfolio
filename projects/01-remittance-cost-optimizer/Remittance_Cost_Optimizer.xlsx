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orridor Data" sheetId="2" state="visible" r:id="rId2"/>
    <sheet name="Calculator" sheetId="3" state="visible" r:id="rId3"/>
    <sheet name="Dashboard" sheetId="4" state="visible" r:id="rId4"/>
    <sheet name="Insights" sheetId="5" state="visible" r:id="rId5"/>
  </sheets>
  <definedNames>
    <definedName name="_xlnm._FilterDatabase" localSheetId="1" hidden="1">'Corridor Data'!$A$1:$I$22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666666"/>
      <sz val="10"/>
    </font>
    <font>
      <sz val="10"/>
    </font>
    <font>
      <b val="1"/>
      <color rgb="001F3864"/>
      <sz val="12"/>
    </font>
    <font>
      <b val="1"/>
      <color rgb="00FFFFFF"/>
      <sz val="11"/>
    </font>
    <font>
      <b val="1"/>
    </font>
    <font>
      <i val="1"/>
      <color rgb="00999999"/>
      <sz val="9"/>
    </font>
    <font>
      <color rgb="00999999"/>
      <sz val="9"/>
    </font>
    <font>
      <b val="1"/>
      <color rgb="001F3864"/>
      <sz val="11"/>
    </font>
    <font>
      <sz val="10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8C4D9"/>
      </left>
      <right style="thin">
        <color rgb="00B8C4D9"/>
      </right>
      <top style="thin">
        <color rgb="00B8C4D9"/>
      </top>
      <bottom style="thin">
        <color rgb="00B8C4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0" pivotButton="0" quotePrefix="0" xfId="0"/>
    <xf numFmtId="0" fontId="0" fillId="3" borderId="1" pivotButton="0" quotePrefix="0" xfId="0"/>
    <xf numFmtId="3" fontId="0" fillId="3" borderId="1" pivotButton="0" quotePrefix="0" xfId="0"/>
    <xf numFmtId="0" fontId="7" fillId="0" borderId="0" pivotButton="0" quotePrefix="0" xfId="0"/>
    <xf numFmtId="0" fontId="8" fillId="0" borderId="0" pivotButton="0" quotePrefix="0" xfId="0"/>
    <xf numFmtId="4" fontId="0" fillId="0" borderId="1" pivotButton="0" quotePrefix="0" xfId="0"/>
    <xf numFmtId="10" fontId="0" fillId="0" borderId="1" pivotButton="0" quotePrefix="0" xfId="0"/>
    <xf numFmtId="4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Avg Total Cost % by Channel Type (USD 500 equivalent)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'Dashboard'!C5</f>
            </strRef>
          </tx>
          <spPr>
            <a:ln>
              <a:prstDash val="solid"/>
            </a:ln>
          </spPr>
          <cat>
            <numRef>
              <f>'Dashboard'!$B$6:$B$10</f>
            </numRef>
          </cat>
          <val>
            <numRef>
              <f>'Dashboard'!$C$6:$C$10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Channel Type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Cost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Cost % vs. Amount Sent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'Dashboard'!C21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'Dashboard'!$B$22:$B$27</f>
            </numRef>
          </cat>
          <val>
            <numRef>
              <f>'Dashboard'!$C$22:$C$27</f>
            </numRef>
          </val>
        </ser>
        <ser>
          <idx val="1"/>
          <order val="1"/>
          <tx>
            <strRef>
              <f>'Dashboard'!D21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'Dashboard'!$B$22:$B$27</f>
            </numRef>
          </cat>
          <val>
            <numRef>
              <f>'Dashboard'!$D$22:$D$27</f>
            </numRef>
          </val>
        </ser>
        <ser>
          <idx val="2"/>
          <order val="2"/>
          <tx>
            <strRef>
              <f>'Dashboard'!E21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'Dashboard'!$B$22:$B$27</f>
            </numRef>
          </cat>
          <val>
            <numRef>
              <f>'Dashboard'!$E$22:$E$27</f>
            </numRef>
          </val>
        </ser>
        <ser>
          <idx val="3"/>
          <order val="3"/>
          <tx>
            <strRef>
              <f>'Dashboard'!F21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'Dashboard'!$B$22:$B$27</f>
            </numRef>
          </cat>
          <val>
            <numRef>
              <f>'Dashboard'!$F$22:$F$27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Amount Sent (GBP)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Total Cost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20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Remittance Corridor Cost Optimizer</t>
        </is>
      </c>
    </row>
    <row r="3">
      <c r="B3" s="2" t="inlineStr">
        <is>
          <t>A decision-support tool for comparing the true cost of sending money to Pakistan</t>
        </is>
      </c>
    </row>
    <row r="5">
      <c r="B5" s="3" t="inlineStr"/>
    </row>
    <row r="6">
      <c r="B6" s="4" t="inlineStr">
        <is>
          <t>PURPOSE</t>
        </is>
      </c>
    </row>
    <row r="7">
      <c r="B7" s="3" t="inlineStr">
        <is>
          <t>Pakistan received an estimated USD 30+ billion in remittances in FY2024 (State Bank of Pakistan), yet the World</t>
        </is>
      </c>
    </row>
    <row r="8">
      <c r="B8" s="3" t="inlineStr">
        <is>
          <t>Bank's Remittance Prices Worldwide (RPW) database consistently ranks South Asian corridors among the more</t>
        </is>
      </c>
    </row>
    <row r="9">
      <c r="B9" s="3" t="inlineStr">
        <is>
          <t>expensive in the world - average total cost (fee + FX margin) of sending USD 200 ranges from ~2% to over 7%</t>
        </is>
      </c>
    </row>
    <row r="10">
      <c r="B10" s="3" t="inlineStr">
        <is>
          <t>depending on channel. Overseas Pakistani workers often pick a channel out of habit rather than by comparing cost,</t>
        </is>
      </c>
    </row>
    <row r="11">
      <c r="B11" s="3" t="inlineStr">
        <is>
          <t>losing hundreds of dollars a year in avoidable fees and poor exchange rates.</t>
        </is>
      </c>
    </row>
    <row r="12">
      <c r="B12" s="3" t="inlineStr"/>
    </row>
    <row r="13">
      <c r="B13" s="3" t="inlineStr">
        <is>
          <t>This tool compares Banks, Money Transfer Operators (Western Union, Ria, exchange houses), fintech apps</t>
        </is>
      </c>
    </row>
    <row r="14">
      <c r="B14" s="3" t="inlineStr">
        <is>
          <t>(Wise, Remitly, Xoom), mobile-wallet-linked transfers (JazzCash/Easypaisa) and the informal hundi/hawala channel</t>
        </is>
      </c>
    </row>
    <row r="15">
      <c r="B15" s="3" t="inlineStr">
        <is>
          <t>for the three largest corridors into Pakistan by volume: UK, UAE and Saudi Arabia.</t>
        </is>
      </c>
    </row>
    <row r="16">
      <c r="B16" s="3" t="inlineStr"/>
    </row>
    <row r="17">
      <c r="B17" s="4" t="inlineStr">
        <is>
          <t>HOW TO USE</t>
        </is>
      </c>
    </row>
    <row r="18">
      <c r="B18" s="3" t="inlineStr">
        <is>
          <t>1. Open the 'Calculator' sheet.</t>
        </is>
      </c>
    </row>
    <row r="19">
      <c r="B19" s="3" t="inlineStr">
        <is>
          <t>2. Choose a corridor from the dropdown (UK, UAE, Saudi Arabia) and type the amount you want to send.</t>
        </is>
      </c>
    </row>
    <row r="20">
      <c r="B20" s="3" t="inlineStr">
        <is>
          <t>3. The sheet pulls the matching 7 channels from 'Corridor Data' and ranks them by TOTAL COST (fee + hidden FX</t>
        </is>
      </c>
    </row>
    <row r="21">
      <c r="B21" s="3" t="inlineStr">
        <is>
          <t xml:space="preserve">   margin) - not just the advertised fee - and recommends the cheapest formal channel.</t>
        </is>
      </c>
    </row>
    <row r="22">
      <c r="B22" s="3" t="inlineStr">
        <is>
          <t>4. The 'Dashboard' sheet visualises average cost by channel type and how cost behaves as amount sent increases.</t>
        </is>
      </c>
    </row>
    <row r="23">
      <c r="B23" s="3" t="inlineStr"/>
    </row>
    <row r="24">
      <c r="B24" s="4" t="inlineStr">
        <is>
          <t>WORKBOOK MAP</t>
        </is>
      </c>
    </row>
    <row r="25">
      <c r="B25" s="3" t="inlineStr">
        <is>
          <t>- Corridor Data : Assumptions for 7 channels x 3 corridors (fee, FX margin, speed, formal/informal flag).</t>
        </is>
      </c>
    </row>
    <row r="26">
      <c r="B26" s="3" t="inlineStr">
        <is>
          <t>- Calculator    : Interactive comparison + auto-ranked recommendation for any amount typed in.</t>
        </is>
      </c>
    </row>
    <row r="27">
      <c r="B27" s="3" t="inlineStr">
        <is>
          <t>- Dashboard     : Charts - avg total cost % by channel type; cost vs. amount sent (economies of scale).</t>
        </is>
      </c>
    </row>
    <row r="28">
      <c r="B28" s="3" t="inlineStr">
        <is>
          <t>- Insights      : Key findings and recommendations for consumers and policymakers.</t>
        </is>
      </c>
    </row>
    <row r="29">
      <c r="B29" s="3" t="inlineStr"/>
    </row>
    <row r="30">
      <c r="B30" s="4" t="inlineStr">
        <is>
          <t>DATA NOTE</t>
        </is>
      </c>
    </row>
    <row r="31">
      <c r="B31" s="3" t="inlineStr">
        <is>
          <t>Fee and FX-margin figures are built from publicly disclosed provider pricing pages and the World Bank RPW</t>
        </is>
      </c>
    </row>
    <row r="32">
      <c r="B32" s="3" t="inlineStr">
        <is>
          <t>methodology (fee + implied FX margin vs. mid-market rate) as reasonable, representative estimates for an academic</t>
        </is>
      </c>
    </row>
    <row r="33">
      <c r="B33" s="3" t="inlineStr">
        <is>
          <t>/ portfolio project, not live quotes. Swap in a live FX-rate API and partner fee feed to make this production-ready.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20" customWidth="1" min="5" max="5"/>
    <col width="10" customWidth="1" min="6" max="6"/>
    <col width="20" customWidth="1" min="7" max="7"/>
    <col width="18" customWidth="1" min="8" max="8"/>
    <col width="24" customWidth="1" min="9" max="9"/>
  </cols>
  <sheetData>
    <row r="1">
      <c r="A1" s="5" t="inlineStr">
        <is>
          <t>Corridor</t>
        </is>
      </c>
      <c r="B1" s="5" t="inlineStr">
        <is>
          <t>Channel</t>
        </is>
      </c>
      <c r="C1" s="5" t="inlineStr">
        <is>
          <t>Channel Type</t>
        </is>
      </c>
      <c r="D1" s="5" t="inlineStr">
        <is>
          <t>Formal Channel?</t>
        </is>
      </c>
      <c r="E1" s="5" t="inlineStr">
        <is>
          <t>Fixed Fee (sender local ccy)</t>
        </is>
      </c>
      <c r="F1" s="5" t="inlineStr">
        <is>
          <t>% Fee</t>
        </is>
      </c>
      <c r="G1" s="5" t="inlineStr">
        <is>
          <t>FX Margin vs Mid-Market (%)</t>
        </is>
      </c>
      <c r="H1" s="5" t="inlineStr">
        <is>
          <t>Delivery Speed</t>
        </is>
      </c>
      <c r="I1" s="5" t="inlineStr">
        <is>
          <t>Max Convenient Amount (USD equiv)</t>
        </is>
      </c>
    </row>
    <row r="2">
      <c r="A2" s="6" t="inlineStr">
        <is>
          <t>UK to Pakistan</t>
        </is>
      </c>
      <c r="B2" s="6" t="inlineStr">
        <is>
          <t>High-street Bank Wire</t>
        </is>
      </c>
      <c r="C2" s="6" t="inlineStr">
        <is>
          <t>Bank</t>
        </is>
      </c>
      <c r="D2" s="6" t="n">
        <v>1</v>
      </c>
      <c r="E2" s="7" t="n">
        <v>15</v>
      </c>
      <c r="F2" s="7" t="n">
        <v>0.5</v>
      </c>
      <c r="G2" s="7" t="n">
        <v>3.2</v>
      </c>
      <c r="H2" s="6" t="inlineStr">
        <is>
          <t>1-3 business days</t>
        </is>
      </c>
      <c r="I2" s="7" t="n">
        <v>5000</v>
      </c>
    </row>
    <row r="3">
      <c r="A3" s="6" t="inlineStr">
        <is>
          <t>UK to Pakistan</t>
        </is>
      </c>
      <c r="B3" s="6" t="inlineStr">
        <is>
          <t>Western Union (Branch)</t>
        </is>
      </c>
      <c r="C3" s="6" t="inlineStr">
        <is>
          <t>MTO</t>
        </is>
      </c>
      <c r="D3" s="6" t="n">
        <v>1</v>
      </c>
      <c r="E3" s="7" t="n">
        <v>3.9</v>
      </c>
      <c r="F3" s="7" t="n">
        <v>1.2</v>
      </c>
      <c r="G3" s="7" t="n">
        <v>2.5</v>
      </c>
      <c r="H3" s="6" t="inlineStr">
        <is>
          <t>Minutes-1 day</t>
        </is>
      </c>
      <c r="I3" s="7" t="n">
        <v>3000</v>
      </c>
    </row>
    <row r="4">
      <c r="A4" s="6" t="inlineStr">
        <is>
          <t>UK to Pakistan</t>
        </is>
      </c>
      <c r="B4" s="6" t="inlineStr">
        <is>
          <t>Ria Money Transfer</t>
        </is>
      </c>
      <c r="C4" s="6" t="inlineStr">
        <is>
          <t>MTO</t>
        </is>
      </c>
      <c r="D4" s="6" t="n">
        <v>1</v>
      </c>
      <c r="E4" s="7" t="n">
        <v>2.9</v>
      </c>
      <c r="F4" s="7" t="n">
        <v>0.8</v>
      </c>
      <c r="G4" s="7" t="n">
        <v>2.2</v>
      </c>
      <c r="H4" s="6" t="inlineStr">
        <is>
          <t>Minutes-1 day</t>
        </is>
      </c>
      <c r="I4" s="7" t="n">
        <v>3000</v>
      </c>
    </row>
    <row r="5">
      <c r="A5" s="6" t="inlineStr">
        <is>
          <t>UK to Pakistan</t>
        </is>
      </c>
      <c r="B5" s="6" t="inlineStr">
        <is>
          <t>Wise</t>
        </is>
      </c>
      <c r="C5" s="6" t="inlineStr">
        <is>
          <t>Fintech</t>
        </is>
      </c>
      <c r="D5" s="6" t="n">
        <v>1</v>
      </c>
      <c r="E5" s="7" t="n">
        <v>3.5</v>
      </c>
      <c r="F5" s="7" t="n">
        <v>0.35</v>
      </c>
      <c r="G5" s="7" t="n">
        <v>0.4</v>
      </c>
      <c r="H5" s="6" t="inlineStr">
        <is>
          <t>Same day</t>
        </is>
      </c>
      <c r="I5" s="7" t="n">
        <v>5000</v>
      </c>
    </row>
    <row r="6">
      <c r="A6" s="6" t="inlineStr">
        <is>
          <t>UK to Pakistan</t>
        </is>
      </c>
      <c r="B6" s="6" t="inlineStr">
        <is>
          <t>Remitly / Xoom Express</t>
        </is>
      </c>
      <c r="C6" s="6" t="inlineStr">
        <is>
          <t>Fintech</t>
        </is>
      </c>
      <c r="D6" s="6" t="n">
        <v>1</v>
      </c>
      <c r="E6" s="7" t="n">
        <v>3.99</v>
      </c>
      <c r="F6" s="7" t="n">
        <v>0</v>
      </c>
      <c r="G6" s="7" t="n">
        <v>1.7</v>
      </c>
      <c r="H6" s="6" t="inlineStr">
        <is>
          <t>Minutes</t>
        </is>
      </c>
      <c r="I6" s="7" t="n">
        <v>2999</v>
      </c>
    </row>
    <row r="7">
      <c r="A7" s="6" t="inlineStr">
        <is>
          <t>UK to Pakistan</t>
        </is>
      </c>
      <c r="B7" s="6" t="inlineStr">
        <is>
          <t>JazzCash / Easypaisa Intl.</t>
        </is>
      </c>
      <c r="C7" s="6" t="inlineStr">
        <is>
          <t>Mobile Wallet</t>
        </is>
      </c>
      <c r="D7" s="6" t="n">
        <v>1</v>
      </c>
      <c r="E7" s="7" t="n">
        <v>0</v>
      </c>
      <c r="F7" s="7" t="n">
        <v>1</v>
      </c>
      <c r="G7" s="7" t="n">
        <v>1</v>
      </c>
      <c r="H7" s="6" t="inlineStr">
        <is>
          <t>Minutes</t>
        </is>
      </c>
      <c r="I7" s="7" t="n">
        <v>1500</v>
      </c>
    </row>
    <row r="8">
      <c r="A8" s="6" t="inlineStr">
        <is>
          <t>UK to Pakistan</t>
        </is>
      </c>
      <c r="B8" s="6" t="inlineStr">
        <is>
          <t>Hundi / Hawala (informal)</t>
        </is>
      </c>
      <c r="C8" s="6" t="inlineStr">
        <is>
          <t>Informal</t>
        </is>
      </c>
      <c r="D8" s="6" t="n">
        <v>0</v>
      </c>
      <c r="E8" s="7" t="n">
        <v>0</v>
      </c>
      <c r="F8" s="7" t="n">
        <v>0.5</v>
      </c>
      <c r="G8" s="7" t="n">
        <v>0.3</v>
      </c>
      <c r="H8" s="6" t="inlineStr">
        <is>
          <t>Same day</t>
        </is>
      </c>
      <c r="I8" s="7" t="n">
        <v>100000</v>
      </c>
    </row>
    <row r="9">
      <c r="A9" s="6" t="inlineStr">
        <is>
          <t>UAE to Pakistan</t>
        </is>
      </c>
      <c r="B9" s="6" t="inlineStr">
        <is>
          <t>High-street Bank Wire</t>
        </is>
      </c>
      <c r="C9" s="6" t="inlineStr">
        <is>
          <t>Bank</t>
        </is>
      </c>
      <c r="D9" s="6" t="n">
        <v>1</v>
      </c>
      <c r="E9" s="7" t="n">
        <v>20</v>
      </c>
      <c r="F9" s="7" t="n">
        <v>0.4</v>
      </c>
      <c r="G9" s="7" t="n">
        <v>2.8</v>
      </c>
      <c r="H9" s="6" t="inlineStr">
        <is>
          <t>1-2 business days</t>
        </is>
      </c>
      <c r="I9" s="7" t="n">
        <v>5000</v>
      </c>
    </row>
    <row r="10">
      <c r="A10" s="6" t="inlineStr">
        <is>
          <t>UAE to Pakistan</t>
        </is>
      </c>
      <c r="B10" s="6" t="inlineStr">
        <is>
          <t>Western Union (Branch)</t>
        </is>
      </c>
      <c r="C10" s="6" t="inlineStr">
        <is>
          <t>MTO</t>
        </is>
      </c>
      <c r="D10" s="6" t="n">
        <v>1</v>
      </c>
      <c r="E10" s="7" t="n">
        <v>15</v>
      </c>
      <c r="F10" s="7" t="n">
        <v>0</v>
      </c>
      <c r="G10" s="7" t="n">
        <v>2</v>
      </c>
      <c r="H10" s="6" t="inlineStr">
        <is>
          <t>Minutes-1 day</t>
        </is>
      </c>
      <c r="I10" s="7" t="n">
        <v>3000</v>
      </c>
    </row>
    <row r="11">
      <c r="A11" s="6" t="inlineStr">
        <is>
          <t>UAE to Pakistan</t>
        </is>
      </c>
      <c r="B11" s="6" t="inlineStr">
        <is>
          <t>Al Ansari Exchange</t>
        </is>
      </c>
      <c r="C11" s="6" t="inlineStr">
        <is>
          <t>MTO</t>
        </is>
      </c>
      <c r="D11" s="6" t="n">
        <v>1</v>
      </c>
      <c r="E11" s="7" t="n">
        <v>10</v>
      </c>
      <c r="F11" s="7" t="n">
        <v>0</v>
      </c>
      <c r="G11" s="7" t="n">
        <v>1.5</v>
      </c>
      <c r="H11" s="6" t="inlineStr">
        <is>
          <t>Minutes</t>
        </is>
      </c>
      <c r="I11" s="7" t="n">
        <v>5000</v>
      </c>
    </row>
    <row r="12">
      <c r="A12" s="6" t="inlineStr">
        <is>
          <t>UAE to Pakistan</t>
        </is>
      </c>
      <c r="B12" s="6" t="inlineStr">
        <is>
          <t>Wise</t>
        </is>
      </c>
      <c r="C12" s="6" t="inlineStr">
        <is>
          <t>Fintech</t>
        </is>
      </c>
      <c r="D12" s="6" t="n">
        <v>1</v>
      </c>
      <c r="E12" s="7" t="n">
        <v>7</v>
      </c>
      <c r="F12" s="7" t="n">
        <v>0.3</v>
      </c>
      <c r="G12" s="7" t="n">
        <v>0.4</v>
      </c>
      <c r="H12" s="6" t="inlineStr">
        <is>
          <t>Same day</t>
        </is>
      </c>
      <c r="I12" s="7" t="n">
        <v>5000</v>
      </c>
    </row>
    <row r="13">
      <c r="A13" s="6" t="inlineStr">
        <is>
          <t>UAE to Pakistan</t>
        </is>
      </c>
      <c r="B13" s="6" t="inlineStr">
        <is>
          <t>Remitly Express</t>
        </is>
      </c>
      <c r="C13" s="6" t="inlineStr">
        <is>
          <t>Fintech</t>
        </is>
      </c>
      <c r="D13" s="6" t="n">
        <v>1</v>
      </c>
      <c r="E13" s="7" t="n">
        <v>3</v>
      </c>
      <c r="F13" s="7" t="n">
        <v>0</v>
      </c>
      <c r="G13" s="7" t="n">
        <v>1.4</v>
      </c>
      <c r="H13" s="6" t="inlineStr">
        <is>
          <t>Minutes</t>
        </is>
      </c>
      <c r="I13" s="7" t="n">
        <v>2999</v>
      </c>
    </row>
    <row r="14">
      <c r="A14" s="6" t="inlineStr">
        <is>
          <t>UAE to Pakistan</t>
        </is>
      </c>
      <c r="B14" s="6" t="inlineStr">
        <is>
          <t>JazzCash / Easypaisa Intl.</t>
        </is>
      </c>
      <c r="C14" s="6" t="inlineStr">
        <is>
          <t>Mobile Wallet</t>
        </is>
      </c>
      <c r="D14" s="6" t="n">
        <v>1</v>
      </c>
      <c r="E14" s="7" t="n">
        <v>0</v>
      </c>
      <c r="F14" s="7" t="n">
        <v>0.8</v>
      </c>
      <c r="G14" s="7" t="n">
        <v>0.9</v>
      </c>
      <c r="H14" s="6" t="inlineStr">
        <is>
          <t>Minutes</t>
        </is>
      </c>
      <c r="I14" s="7" t="n">
        <v>1500</v>
      </c>
    </row>
    <row r="15">
      <c r="A15" s="6" t="inlineStr">
        <is>
          <t>UAE to Pakistan</t>
        </is>
      </c>
      <c r="B15" s="6" t="inlineStr">
        <is>
          <t>Hundi / Hawala (informal)</t>
        </is>
      </c>
      <c r="C15" s="6" t="inlineStr">
        <is>
          <t>Informal</t>
        </is>
      </c>
      <c r="D15" s="6" t="n">
        <v>0</v>
      </c>
      <c r="E15" s="7" t="n">
        <v>0</v>
      </c>
      <c r="F15" s="7" t="n">
        <v>0.3</v>
      </c>
      <c r="G15" s="7" t="n">
        <v>0.2</v>
      </c>
      <c r="H15" s="6" t="inlineStr">
        <is>
          <t>Same day</t>
        </is>
      </c>
      <c r="I15" s="7" t="n">
        <v>100000</v>
      </c>
    </row>
    <row r="16">
      <c r="A16" s="6" t="inlineStr">
        <is>
          <t>Saudi Arabia to Pakistan</t>
        </is>
      </c>
      <c r="B16" s="6" t="inlineStr">
        <is>
          <t>High-street Bank Wire</t>
        </is>
      </c>
      <c r="C16" s="6" t="inlineStr">
        <is>
          <t>Bank</t>
        </is>
      </c>
      <c r="D16" s="6" t="n">
        <v>1</v>
      </c>
      <c r="E16" s="7" t="n">
        <v>25</v>
      </c>
      <c r="F16" s="7" t="n">
        <v>0.4</v>
      </c>
      <c r="G16" s="7" t="n">
        <v>3</v>
      </c>
      <c r="H16" s="6" t="inlineStr">
        <is>
          <t>1-3 business days</t>
        </is>
      </c>
      <c r="I16" s="7" t="n">
        <v>5000</v>
      </c>
    </row>
    <row r="17">
      <c r="A17" s="6" t="inlineStr">
        <is>
          <t>Saudi Arabia to Pakistan</t>
        </is>
      </c>
      <c r="B17" s="6" t="inlineStr">
        <is>
          <t>Western Union (Branch)</t>
        </is>
      </c>
      <c r="C17" s="6" t="inlineStr">
        <is>
          <t>MTO</t>
        </is>
      </c>
      <c r="D17" s="6" t="n">
        <v>1</v>
      </c>
      <c r="E17" s="7" t="n">
        <v>12</v>
      </c>
      <c r="F17" s="7" t="n">
        <v>0</v>
      </c>
      <c r="G17" s="7" t="n">
        <v>2.3</v>
      </c>
      <c r="H17" s="6" t="inlineStr">
        <is>
          <t>Minutes-1 day</t>
        </is>
      </c>
      <c r="I17" s="7" t="n">
        <v>3000</v>
      </c>
    </row>
    <row r="18">
      <c r="A18" s="6" t="inlineStr">
        <is>
          <t>Saudi Arabia to Pakistan</t>
        </is>
      </c>
      <c r="B18" s="6" t="inlineStr">
        <is>
          <t>Exchange House (Al Rajhi/Al Ansari)</t>
        </is>
      </c>
      <c r="C18" s="6" t="inlineStr">
        <is>
          <t>MTO</t>
        </is>
      </c>
      <c r="D18" s="6" t="n">
        <v>1</v>
      </c>
      <c r="E18" s="7" t="n">
        <v>8</v>
      </c>
      <c r="F18" s="7" t="n">
        <v>0</v>
      </c>
      <c r="G18" s="7" t="n">
        <v>1.7</v>
      </c>
      <c r="H18" s="6" t="inlineStr">
        <is>
          <t>Minutes</t>
        </is>
      </c>
      <c r="I18" s="7" t="n">
        <v>5000</v>
      </c>
    </row>
    <row r="19">
      <c r="A19" s="6" t="inlineStr">
        <is>
          <t>Saudi Arabia to Pakistan</t>
        </is>
      </c>
      <c r="B19" s="6" t="inlineStr">
        <is>
          <t>Wise</t>
        </is>
      </c>
      <c r="C19" s="6" t="inlineStr">
        <is>
          <t>Fintech</t>
        </is>
      </c>
      <c r="D19" s="6" t="n">
        <v>1</v>
      </c>
      <c r="E19" s="7" t="n">
        <v>9</v>
      </c>
      <c r="F19" s="7" t="n">
        <v>0.3</v>
      </c>
      <c r="G19" s="7" t="n">
        <v>0.5</v>
      </c>
      <c r="H19" s="6" t="inlineStr">
        <is>
          <t>Same day</t>
        </is>
      </c>
      <c r="I19" s="7" t="n">
        <v>5000</v>
      </c>
    </row>
    <row r="20">
      <c r="A20" s="6" t="inlineStr">
        <is>
          <t>Saudi Arabia to Pakistan</t>
        </is>
      </c>
      <c r="B20" s="6" t="inlineStr">
        <is>
          <t>Remitly Express</t>
        </is>
      </c>
      <c r="C20" s="6" t="inlineStr">
        <is>
          <t>Fintech</t>
        </is>
      </c>
      <c r="D20" s="6" t="n">
        <v>1</v>
      </c>
      <c r="E20" s="7" t="n">
        <v>6</v>
      </c>
      <c r="F20" s="7" t="n">
        <v>0</v>
      </c>
      <c r="G20" s="7" t="n">
        <v>1.5</v>
      </c>
      <c r="H20" s="6" t="inlineStr">
        <is>
          <t>Minutes</t>
        </is>
      </c>
      <c r="I20" s="7" t="n">
        <v>2999</v>
      </c>
    </row>
    <row r="21">
      <c r="A21" s="6" t="inlineStr">
        <is>
          <t>Saudi Arabia to Pakistan</t>
        </is>
      </c>
      <c r="B21" s="6" t="inlineStr">
        <is>
          <t>JazzCash / Easypaisa Intl.</t>
        </is>
      </c>
      <c r="C21" s="6" t="inlineStr">
        <is>
          <t>Mobile Wallet</t>
        </is>
      </c>
      <c r="D21" s="6" t="n">
        <v>1</v>
      </c>
      <c r="E21" s="7" t="n">
        <v>0</v>
      </c>
      <c r="F21" s="7" t="n">
        <v>0.9</v>
      </c>
      <c r="G21" s="7" t="n">
        <v>1</v>
      </c>
      <c r="H21" s="6" t="inlineStr">
        <is>
          <t>Minutes</t>
        </is>
      </c>
      <c r="I21" s="7" t="n">
        <v>1500</v>
      </c>
    </row>
    <row r="22">
      <c r="A22" s="6" t="inlineStr">
        <is>
          <t>Saudi Arabia to Pakistan</t>
        </is>
      </c>
      <c r="B22" s="6" t="inlineStr">
        <is>
          <t>Hundi / Hawala (informal)</t>
        </is>
      </c>
      <c r="C22" s="6" t="inlineStr">
        <is>
          <t>Informal</t>
        </is>
      </c>
      <c r="D22" s="6" t="n">
        <v>0</v>
      </c>
      <c r="E22" s="7" t="n">
        <v>0</v>
      </c>
      <c r="F22" s="7" t="n">
        <v>0.4</v>
      </c>
      <c r="G22" s="7" t="n">
        <v>0.2</v>
      </c>
      <c r="H22" s="6" t="inlineStr">
        <is>
          <t>Same day</t>
        </is>
      </c>
      <c r="I22" s="7" t="n">
        <v>100000</v>
      </c>
    </row>
  </sheetData>
  <autoFilter ref="A1:I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2" customWidth="1" min="4" max="4"/>
    <col width="10" customWidth="1" min="5" max="5"/>
    <col width="12" customWidth="1" min="6" max="6"/>
    <col width="16" customWidth="1" min="7" max="7"/>
    <col width="14" customWidth="1" min="8" max="8"/>
    <col width="20" customWidth="1" min="9" max="9"/>
    <col width="16" customWidth="1" min="10" max="10"/>
  </cols>
  <sheetData>
    <row r="2">
      <c r="B2" s="1" t="inlineStr">
        <is>
          <t>Remittance Channel Comparison Calculator</t>
        </is>
      </c>
    </row>
    <row r="3">
      <c r="B3" s="2" t="inlineStr">
        <is>
          <t>Select a corridor and enter an amount - every channel is ranked by TOTAL cost (fee + FX margin).</t>
        </is>
      </c>
    </row>
    <row r="5">
      <c r="B5" s="8" t="inlineStr">
        <is>
          <t>Corridor:</t>
        </is>
      </c>
      <c r="C5" s="9" t="inlineStr">
        <is>
          <t>UK to Pakistan</t>
        </is>
      </c>
    </row>
    <row r="6">
      <c r="B6" s="8" t="inlineStr">
        <is>
          <t>Amount to send (sender's local currency):</t>
        </is>
      </c>
      <c r="C6" s="10" t="n">
        <v>500</v>
      </c>
    </row>
    <row r="8">
      <c r="B8" s="11" t="inlineStr">
        <is>
          <t>Corridor start-row lookup (internal):</t>
        </is>
      </c>
    </row>
    <row r="9">
      <c r="B9" s="12" t="inlineStr">
        <is>
          <t>UK to Pakistan</t>
        </is>
      </c>
      <c r="C9" s="12" t="n">
        <v>2</v>
      </c>
    </row>
    <row r="10">
      <c r="B10" s="12" t="inlineStr">
        <is>
          <t>UAE to Pakistan</t>
        </is>
      </c>
      <c r="C10" s="12" t="n">
        <v>9</v>
      </c>
    </row>
    <row r="11">
      <c r="B11" s="12" t="inlineStr">
        <is>
          <t>Saudi Arabia to Pakistan</t>
        </is>
      </c>
      <c r="C11" s="12" t="n">
        <v>16</v>
      </c>
    </row>
    <row r="13">
      <c r="B13" s="5" t="inlineStr">
        <is>
          <t>Channel</t>
        </is>
      </c>
      <c r="C13" s="5" t="inlineStr">
        <is>
          <t>Channel Type</t>
        </is>
      </c>
      <c r="D13" s="5" t="inlineStr">
        <is>
          <t>Fixed Fee</t>
        </is>
      </c>
      <c r="E13" s="5" t="inlineStr">
        <is>
          <t>% Fee</t>
        </is>
      </c>
      <c r="F13" s="5" t="inlineStr">
        <is>
          <t>FX Margin %</t>
        </is>
      </c>
      <c r="G13" s="5" t="inlineStr">
        <is>
          <t>Total Cost (amount)</t>
        </is>
      </c>
      <c r="H13" s="5" t="inlineStr">
        <is>
          <t>Total Cost %</t>
        </is>
      </c>
      <c r="I13" s="5" t="inlineStr">
        <is>
          <t>Amount Received (est.)</t>
        </is>
      </c>
      <c r="J13" s="5" t="inlineStr">
        <is>
          <t>Rank (1=cheapest)</t>
        </is>
      </c>
    </row>
    <row r="14">
      <c r="B14" s="6">
        <f>INDEX('Corridor Data'!$B:$B,(VLOOKUP($C$5,$B$9:$C$11,2,FALSE)+0))</f>
        <v/>
      </c>
      <c r="C14" s="6">
        <f>INDEX('Corridor Data'!$C:$C,(VLOOKUP($C$5,$B$9:$C$11,2,FALSE)+0))</f>
        <v/>
      </c>
      <c r="D14" s="6">
        <f>INDEX('Corridor Data'!$E:$E,(VLOOKUP($C$5,$B$9:$C$11,2,FALSE)+0))</f>
        <v/>
      </c>
      <c r="E14" s="6">
        <f>INDEX('Corridor Data'!$F:$F,(VLOOKUP($C$5,$B$9:$C$11,2,FALSE)+0))</f>
        <v/>
      </c>
      <c r="F14" s="6">
        <f>INDEX('Corridor Data'!$G:$G,(VLOOKUP($C$5,$B$9:$C$11,2,FALSE)+0))</f>
        <v/>
      </c>
      <c r="G14" s="13">
        <f>D14+(E14/100)*$C$6+(F14/100)*$C$6</f>
        <v/>
      </c>
      <c r="H14" s="14">
        <f>G14/$C$6</f>
        <v/>
      </c>
      <c r="I14" s="13">
        <f>$C$6-G14</f>
        <v/>
      </c>
      <c r="J14" s="6">
        <f>RANK.EQ(G14,$G$14:$G$20,1)</f>
        <v/>
      </c>
    </row>
    <row r="15">
      <c r="B15" s="6">
        <f>INDEX('Corridor Data'!$B:$B,(VLOOKUP($C$5,$B$9:$C$11,2,FALSE)+1))</f>
        <v/>
      </c>
      <c r="C15" s="6">
        <f>INDEX('Corridor Data'!$C:$C,(VLOOKUP($C$5,$B$9:$C$11,2,FALSE)+1))</f>
        <v/>
      </c>
      <c r="D15" s="6">
        <f>INDEX('Corridor Data'!$E:$E,(VLOOKUP($C$5,$B$9:$C$11,2,FALSE)+1))</f>
        <v/>
      </c>
      <c r="E15" s="6">
        <f>INDEX('Corridor Data'!$F:$F,(VLOOKUP($C$5,$B$9:$C$11,2,FALSE)+1))</f>
        <v/>
      </c>
      <c r="F15" s="6">
        <f>INDEX('Corridor Data'!$G:$G,(VLOOKUP($C$5,$B$9:$C$11,2,FALSE)+1))</f>
        <v/>
      </c>
      <c r="G15" s="13">
        <f>D15+(E15/100)*$C$6+(F15/100)*$C$6</f>
        <v/>
      </c>
      <c r="H15" s="14">
        <f>G15/$C$6</f>
        <v/>
      </c>
      <c r="I15" s="13">
        <f>$C$6-G15</f>
        <v/>
      </c>
      <c r="J15" s="6">
        <f>RANK.EQ(G15,$G$14:$G$20,1)</f>
        <v/>
      </c>
    </row>
    <row r="16">
      <c r="B16" s="6">
        <f>INDEX('Corridor Data'!$B:$B,(VLOOKUP($C$5,$B$9:$C$11,2,FALSE)+2))</f>
        <v/>
      </c>
      <c r="C16" s="6">
        <f>INDEX('Corridor Data'!$C:$C,(VLOOKUP($C$5,$B$9:$C$11,2,FALSE)+2))</f>
        <v/>
      </c>
      <c r="D16" s="6">
        <f>INDEX('Corridor Data'!$E:$E,(VLOOKUP($C$5,$B$9:$C$11,2,FALSE)+2))</f>
        <v/>
      </c>
      <c r="E16" s="6">
        <f>INDEX('Corridor Data'!$F:$F,(VLOOKUP($C$5,$B$9:$C$11,2,FALSE)+2))</f>
        <v/>
      </c>
      <c r="F16" s="6">
        <f>INDEX('Corridor Data'!$G:$G,(VLOOKUP($C$5,$B$9:$C$11,2,FALSE)+2))</f>
        <v/>
      </c>
      <c r="G16" s="13">
        <f>D16+(E16/100)*$C$6+(F16/100)*$C$6</f>
        <v/>
      </c>
      <c r="H16" s="14">
        <f>G16/$C$6</f>
        <v/>
      </c>
      <c r="I16" s="13">
        <f>$C$6-G16</f>
        <v/>
      </c>
      <c r="J16" s="6">
        <f>RANK.EQ(G16,$G$14:$G$20,1)</f>
        <v/>
      </c>
    </row>
    <row r="17">
      <c r="B17" s="6">
        <f>INDEX('Corridor Data'!$B:$B,(VLOOKUP($C$5,$B$9:$C$11,2,FALSE)+3))</f>
        <v/>
      </c>
      <c r="C17" s="6">
        <f>INDEX('Corridor Data'!$C:$C,(VLOOKUP($C$5,$B$9:$C$11,2,FALSE)+3))</f>
        <v/>
      </c>
      <c r="D17" s="6">
        <f>INDEX('Corridor Data'!$E:$E,(VLOOKUP($C$5,$B$9:$C$11,2,FALSE)+3))</f>
        <v/>
      </c>
      <c r="E17" s="6">
        <f>INDEX('Corridor Data'!$F:$F,(VLOOKUP($C$5,$B$9:$C$11,2,FALSE)+3))</f>
        <v/>
      </c>
      <c r="F17" s="6">
        <f>INDEX('Corridor Data'!$G:$G,(VLOOKUP($C$5,$B$9:$C$11,2,FALSE)+3))</f>
        <v/>
      </c>
      <c r="G17" s="13">
        <f>D17+(E17/100)*$C$6+(F17/100)*$C$6</f>
        <v/>
      </c>
      <c r="H17" s="14">
        <f>G17/$C$6</f>
        <v/>
      </c>
      <c r="I17" s="13">
        <f>$C$6-G17</f>
        <v/>
      </c>
      <c r="J17" s="6">
        <f>RANK.EQ(G17,$G$14:$G$20,1)</f>
        <v/>
      </c>
    </row>
    <row r="18">
      <c r="B18" s="6">
        <f>INDEX('Corridor Data'!$B:$B,(VLOOKUP($C$5,$B$9:$C$11,2,FALSE)+4))</f>
        <v/>
      </c>
      <c r="C18" s="6">
        <f>INDEX('Corridor Data'!$C:$C,(VLOOKUP($C$5,$B$9:$C$11,2,FALSE)+4))</f>
        <v/>
      </c>
      <c r="D18" s="6">
        <f>INDEX('Corridor Data'!$E:$E,(VLOOKUP($C$5,$B$9:$C$11,2,FALSE)+4))</f>
        <v/>
      </c>
      <c r="E18" s="6">
        <f>INDEX('Corridor Data'!$F:$F,(VLOOKUP($C$5,$B$9:$C$11,2,FALSE)+4))</f>
        <v/>
      </c>
      <c r="F18" s="6">
        <f>INDEX('Corridor Data'!$G:$G,(VLOOKUP($C$5,$B$9:$C$11,2,FALSE)+4))</f>
        <v/>
      </c>
      <c r="G18" s="13">
        <f>D18+(E18/100)*$C$6+(F18/100)*$C$6</f>
        <v/>
      </c>
      <c r="H18" s="14">
        <f>G18/$C$6</f>
        <v/>
      </c>
      <c r="I18" s="13">
        <f>$C$6-G18</f>
        <v/>
      </c>
      <c r="J18" s="6">
        <f>RANK.EQ(G18,$G$14:$G$20,1)</f>
        <v/>
      </c>
    </row>
    <row r="19">
      <c r="B19" s="6">
        <f>INDEX('Corridor Data'!$B:$B,(VLOOKUP($C$5,$B$9:$C$11,2,FALSE)+5))</f>
        <v/>
      </c>
      <c r="C19" s="6">
        <f>INDEX('Corridor Data'!$C:$C,(VLOOKUP($C$5,$B$9:$C$11,2,FALSE)+5))</f>
        <v/>
      </c>
      <c r="D19" s="6">
        <f>INDEX('Corridor Data'!$E:$E,(VLOOKUP($C$5,$B$9:$C$11,2,FALSE)+5))</f>
        <v/>
      </c>
      <c r="E19" s="6">
        <f>INDEX('Corridor Data'!$F:$F,(VLOOKUP($C$5,$B$9:$C$11,2,FALSE)+5))</f>
        <v/>
      </c>
      <c r="F19" s="6">
        <f>INDEX('Corridor Data'!$G:$G,(VLOOKUP($C$5,$B$9:$C$11,2,FALSE)+5))</f>
        <v/>
      </c>
      <c r="G19" s="13">
        <f>D19+(E19/100)*$C$6+(F19/100)*$C$6</f>
        <v/>
      </c>
      <c r="H19" s="14">
        <f>G19/$C$6</f>
        <v/>
      </c>
      <c r="I19" s="13">
        <f>$C$6-G19</f>
        <v/>
      </c>
      <c r="J19" s="6">
        <f>RANK.EQ(G19,$G$14:$G$20,1)</f>
        <v/>
      </c>
    </row>
    <row r="20">
      <c r="B20" s="6">
        <f>INDEX('Corridor Data'!$B:$B,(VLOOKUP($C$5,$B$9:$C$11,2,FALSE)+6))</f>
        <v/>
      </c>
      <c r="C20" s="6">
        <f>INDEX('Corridor Data'!$C:$C,(VLOOKUP($C$5,$B$9:$C$11,2,FALSE)+6))</f>
        <v/>
      </c>
      <c r="D20" s="6">
        <f>INDEX('Corridor Data'!$E:$E,(VLOOKUP($C$5,$B$9:$C$11,2,FALSE)+6))</f>
        <v/>
      </c>
      <c r="E20" s="6">
        <f>INDEX('Corridor Data'!$F:$F,(VLOOKUP($C$5,$B$9:$C$11,2,FALSE)+6))</f>
        <v/>
      </c>
      <c r="F20" s="6">
        <f>INDEX('Corridor Data'!$G:$G,(VLOOKUP($C$5,$B$9:$C$11,2,FALSE)+6))</f>
        <v/>
      </c>
      <c r="G20" s="13">
        <f>D20+(E20/100)*$C$6+(F20/100)*$C$6</f>
        <v/>
      </c>
      <c r="H20" s="14">
        <f>G20/$C$6</f>
        <v/>
      </c>
      <c r="I20" s="13">
        <f>$C$6-G20</f>
        <v/>
      </c>
      <c r="J20" s="6">
        <f>RANK.EQ(G20,$G$14:$G$20,1)</f>
        <v/>
      </c>
    </row>
    <row r="22">
      <c r="B22" s="8" t="inlineStr">
        <is>
          <t>Cheapest Channel:</t>
        </is>
      </c>
      <c r="C22">
        <f>INDEX($B14:$B20,MATCH(1,$J14:$J20,0))</f>
        <v/>
      </c>
    </row>
    <row r="23">
      <c r="B23" s="8" t="inlineStr">
        <is>
          <t>Cheapest Total Cost:</t>
        </is>
      </c>
      <c r="C23" s="15">
        <f>MIN($G14:$G20)</f>
        <v/>
      </c>
    </row>
    <row r="24">
      <c r="B24" s="8" t="inlineStr">
        <is>
          <t>Most Expensive Total Cost:</t>
        </is>
      </c>
      <c r="C24" s="15">
        <f>MAX($G14:$G20)</f>
        <v/>
      </c>
    </row>
    <row r="25">
      <c r="B25" s="8" t="inlineStr">
        <is>
          <t>Potential Annual Savings (12 transfers, cheapest vs. costliest):</t>
        </is>
      </c>
      <c r="C25" s="15">
        <f>(C24-C23)*12</f>
        <v/>
      </c>
    </row>
  </sheetData>
  <conditionalFormatting sqref="H14:H20">
    <cfRule type="colorScale" priority="1">
      <colorScale>
        <cfvo type="min"/>
        <cfvo type="max"/>
        <color rgb="0063BE7B"/>
        <color rgb="00F8696B"/>
      </colorScale>
    </cfRule>
  </conditionalFormatting>
  <dataValidations count="1">
    <dataValidation sqref="C5" showDropDown="0" showInputMessage="0" showErrorMessage="0" allowBlank="0" type="list">
      <formula1>"UK to Pakistan,UAE to Pakistan,Saudi Arabia to Pakistan"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2">
      <c r="B2" s="1" t="inlineStr">
        <is>
          <t>Cost Analysis Dashboard</t>
        </is>
      </c>
    </row>
    <row r="4">
      <c r="B4" s="16" t="inlineStr">
        <is>
          <t>Average Total Cost (%) to send an equivalent of USD 500, by channel type (all 3 corridors)</t>
        </is>
      </c>
    </row>
    <row r="5">
      <c r="B5" s="5" t="inlineStr">
        <is>
          <t>Channel Type</t>
        </is>
      </c>
      <c r="C5" s="5" t="inlineStr">
        <is>
          <t>Avg Total Cost %</t>
        </is>
      </c>
    </row>
    <row r="6">
      <c r="B6" s="6" t="inlineStr">
        <is>
          <t>Bank</t>
        </is>
      </c>
      <c r="C6" s="6" t="n">
        <v>7.43</v>
      </c>
    </row>
    <row r="7">
      <c r="B7" s="6" t="inlineStr">
        <is>
          <t>MTO</t>
        </is>
      </c>
      <c r="C7" s="6" t="n">
        <v>4.09</v>
      </c>
    </row>
    <row r="8">
      <c r="B8" s="6" t="inlineStr">
        <is>
          <t>Fintech</t>
        </is>
      </c>
      <c r="C8" s="6" t="n">
        <v>2.22</v>
      </c>
    </row>
    <row r="9">
      <c r="B9" s="6" t="inlineStr">
        <is>
          <t>Mobile Wallet</t>
        </is>
      </c>
      <c r="C9" s="6" t="n">
        <v>1.87</v>
      </c>
    </row>
    <row r="10">
      <c r="B10" s="6" t="inlineStr">
        <is>
          <t>Informal</t>
        </is>
      </c>
      <c r="C10" s="6" t="n">
        <v>0.63</v>
      </c>
    </row>
    <row r="20">
      <c r="B20" s="16" t="inlineStr">
        <is>
          <t>Cost as % of Amount Sent - Economies of Scale (UK to Pakistan corridor)</t>
        </is>
      </c>
    </row>
    <row r="21">
      <c r="B21" s="5" t="inlineStr">
        <is>
          <t>Amount Sent (GBP)</t>
        </is>
      </c>
      <c r="C21" s="5" t="inlineStr">
        <is>
          <t>High-street Bank</t>
        </is>
      </c>
      <c r="D21" s="5" t="inlineStr">
        <is>
          <t>Western Union</t>
        </is>
      </c>
      <c r="E21" s="5" t="inlineStr">
        <is>
          <t>Wise (fintech)</t>
        </is>
      </c>
      <c r="F21" s="5" t="inlineStr">
        <is>
          <t>Hundi (informal)</t>
        </is>
      </c>
    </row>
    <row r="22">
      <c r="B22" t="n">
        <v>100</v>
      </c>
      <c r="C22" t="n">
        <v>18.7</v>
      </c>
      <c r="D22" t="n">
        <v>7.6</v>
      </c>
      <c r="E22" t="n">
        <v>4.25</v>
      </c>
      <c r="F22" t="n">
        <v>0.8</v>
      </c>
    </row>
    <row r="23">
      <c r="B23" t="n">
        <v>250</v>
      </c>
      <c r="C23" t="n">
        <v>9.699999999999999</v>
      </c>
      <c r="D23" t="n">
        <v>5.26</v>
      </c>
      <c r="E23" t="n">
        <v>2.15</v>
      </c>
      <c r="F23" t="n">
        <v>0.8</v>
      </c>
    </row>
    <row r="24">
      <c r="B24" t="n">
        <v>500</v>
      </c>
      <c r="C24" t="n">
        <v>6.7</v>
      </c>
      <c r="D24" t="n">
        <v>4.48</v>
      </c>
      <c r="E24" t="n">
        <v>1.45</v>
      </c>
      <c r="F24" t="n">
        <v>0.8</v>
      </c>
    </row>
    <row r="25">
      <c r="B25" t="n">
        <v>1000</v>
      </c>
      <c r="C25" t="n">
        <v>5.2</v>
      </c>
      <c r="D25" t="n">
        <v>4.09</v>
      </c>
      <c r="E25" t="n">
        <v>1.1</v>
      </c>
      <c r="F25" t="n">
        <v>0.8</v>
      </c>
    </row>
    <row r="26">
      <c r="B26" t="n">
        <v>2000</v>
      </c>
      <c r="C26" t="n">
        <v>4.45</v>
      </c>
      <c r="D26" t="n">
        <v>3.9</v>
      </c>
      <c r="E26" t="n">
        <v>0.92</v>
      </c>
      <c r="F26" t="n">
        <v>0.8</v>
      </c>
    </row>
    <row r="27">
      <c r="B27" t="n">
        <v>5000</v>
      </c>
      <c r="C27" t="n">
        <v>4</v>
      </c>
      <c r="D27" t="n">
        <v>3.78</v>
      </c>
      <c r="E27" t="n">
        <v>0.82</v>
      </c>
      <c r="F27" t="n">
        <v>0.8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Key Findings &amp; Recommendations</t>
        </is>
      </c>
    </row>
    <row r="4">
      <c r="B4" s="17" t="inlineStr">
        <is>
          <t>1. Fintech apps (Wise) are consistently the cheapest formal option once the amount sent exceeds ~GBP 250, because</t>
        </is>
      </c>
    </row>
    <row r="5">
      <c r="B5" s="17" t="inlineStr">
        <is>
          <t xml:space="preserve">   their FX margin (0.3-0.5%) is far below banks and MTOs (1.5-3.2%), even though banks advertise 'free transfers'.</t>
        </is>
      </c>
    </row>
    <row r="6">
      <c r="B6" s="17" t="inlineStr">
        <is>
          <t>2. For very small transfers (under GBP 100), fixed fees dominate - mobile-wallet-linked transfers (JazzCash/</t>
        </is>
      </c>
    </row>
    <row r="7">
      <c r="B7" s="17" t="inlineStr">
        <is>
          <t xml:space="preserve">   Easypaisa) can beat fintech apps because there is no fixed fee to amortise over a small amount.</t>
        </is>
      </c>
    </row>
    <row r="8">
      <c r="B8" s="17" t="inlineStr">
        <is>
          <t>3. Banks are the single most expensive formal channel across all three corridors once fee + FX margin are combined,</t>
        </is>
      </c>
    </row>
    <row r="9">
      <c r="B9" s="17" t="inlineStr">
        <is>
          <t xml:space="preserve">   despite being perceived by senders as the 'safe default' option - a clear information gap this tool addresses.</t>
        </is>
      </c>
    </row>
    <row r="10">
      <c r="B10" s="17" t="inlineStr">
        <is>
          <t>4. Informal hundi/hawala channels remain cost-competitive (low fee, near-mid-market FX), which helps explain why an</t>
        </is>
      </c>
    </row>
    <row r="11">
      <c r="B11" s="17" t="inlineStr">
        <is>
          <t xml:space="preserve">   estimated 30-40% of Pakistan's remittance flows are believed to bypass formal channels (SBP / World Bank</t>
        </is>
      </c>
    </row>
    <row r="12">
      <c r="B12" s="17" t="inlineStr">
        <is>
          <t xml:space="preserve">   estimates) - a policy problem, since informal flows are unregulated, offer no consumer protection, and are</t>
        </is>
      </c>
    </row>
    <row r="13">
      <c r="B13" s="17" t="inlineStr">
        <is>
          <t xml:space="preserve">   undocumented for GDP, tax, and monetary-policy purposes.</t>
        </is>
      </c>
    </row>
    <row r="14">
      <c r="B14" s="17" t="inlineStr">
        <is>
          <t>5. CONSUMER RECOMMENDATION: switch to a licensed fintech remittance app for transfers above GBP/AED/SAR 250-300;</t>
        </is>
      </c>
    </row>
    <row r="15">
      <c r="B15" s="17" t="inlineStr">
        <is>
          <t xml:space="preserve">   use it consistently to build a formal-channel habit rather than reverting to hundi for convenience.</t>
        </is>
      </c>
    </row>
    <row r="16">
      <c r="B16" s="17" t="inlineStr">
        <is>
          <t>6. POLICY RECOMMENDATION (State Bank of Pakistan / Pakistan Remittance Initiative): target incentives at the FX</t>
        </is>
      </c>
    </row>
    <row r="17">
      <c r="B17" s="17" t="inlineStr">
        <is>
          <t xml:space="preserve">   margin, not just the visible fee, since the margin is the larger and less transparent cost component exposed</t>
        </is>
      </c>
    </row>
    <row r="18">
      <c r="B18" s="17" t="inlineStr">
        <is>
          <t xml:space="preserve">   by this analysis.</t>
        </is>
      </c>
    </row>
    <row r="19">
      <c r="B19" s="17" t="inlineStr">
        <is>
          <t>7. EXTENSION: connect a live FX-rate API (e.g. exchangerate.host) and a partner fee feed to turn this into a real</t>
        </is>
      </c>
    </row>
    <row r="20">
      <c r="B20" s="17" t="inlineStr">
        <is>
          <t xml:space="preserve">   consumer comparison product - the same concept behind the World Bank's own RPW database and UK price-comparison</t>
        </is>
      </c>
    </row>
    <row r="21">
      <c r="B21" s="17" t="inlineStr">
        <is>
          <t xml:space="preserve">   sites for money transfer.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2026-09-13T12:04:38Z</dcterms:created>
  <dcterms:modified xsi:type="dcterms:W3CDTF">2026-09-13T12:04:38Z</dcterms:modified>
</cp:coreProperties>
</file>