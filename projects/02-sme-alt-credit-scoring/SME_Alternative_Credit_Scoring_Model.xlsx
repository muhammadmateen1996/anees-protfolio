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orecard Rules" sheetId="2" state="visible" r:id="rId2"/>
    <sheet name="Scorecard Calculator" sheetId="3" state="visible" r:id="rId3"/>
    <sheet name="Applicant Portfolio" sheetId="4" state="visible" r:id="rId4"/>
    <sheet name="Dashboard" sheetId="5" state="visible" r:id="rId5"/>
    <sheet name="Insights" sheetId="6" state="visible" r:id="rId6"/>
  </sheets>
  <definedNames>
    <definedName name="_xlnm._FilterDatabase" localSheetId="3" hidden="1">'Applicant Portfolio'!$A$1:$N$41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1F3864"/>
      <sz val="12"/>
    </font>
    <font>
      <sz val="10"/>
    </font>
    <font>
      <b val="1"/>
      <color rgb="001F3864"/>
      <sz val="11"/>
    </font>
    <font>
      <b val="1"/>
    </font>
    <font>
      <b val="1"/>
      <color rgb="001F3864"/>
      <sz val="13"/>
    </font>
    <font>
      <b val="1"/>
      <color rgb="00FFFFFF"/>
      <sz val="11"/>
    </font>
    <font>
      <sz val="10.5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6" fillId="0" borderId="0" pivotButton="0" quotePrefix="0" xfId="0"/>
    <xf numFmtId="1" fontId="7" fillId="0" borderId="0" pivotButton="0" quotePrefix="0" xfId="0"/>
    <xf numFmtId="0" fontId="0" fillId="3" borderId="0" pivotButton="0" quotePrefix="0" xfId="0"/>
    <xf numFmtId="9" fontId="0" fillId="0" borderId="0" pivotButton="0" quotePrefix="0" xfId="0"/>
    <xf numFmtId="3" fontId="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Default Rate % by Risk Grade (model validation)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'Dashboard'!E5</f>
            </strRef>
          </tx>
          <spPr>
            <a:ln>
              <a:prstDash val="solid"/>
            </a:ln>
          </spPr>
          <cat>
            <numRef>
              <f>'Dashboard'!$B$6:$B$9</f>
            </numRef>
          </cat>
          <val>
            <numRef>
              <f>'Dashboard'!$E$6:$E$9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Default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Applicant Count by Risk Grade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'Dashboard'!C5</f>
            </strRef>
          </tx>
          <spPr>
            <a:ln>
              <a:prstDash val="solid"/>
            </a:ln>
          </spPr>
          <cat>
            <numRef>
              <f>'Dashboard'!$B$6:$B$9</f>
            </numRef>
          </cat>
          <val>
            <numRef>
              <f>'Dashboard'!$C$6:$C$9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SME Alternative Credit Scoring Model</t>
        </is>
      </c>
    </row>
    <row r="3">
      <c r="B3" s="2" t="inlineStr">
        <is>
          <t>A points-based scorecard that lets fintech lenders assess unbanked/thin-file SMEs using alternative data</t>
        </is>
      </c>
    </row>
    <row r="5">
      <c r="B5" s="3" t="inlineStr">
        <is>
          <t>PURPOSE</t>
        </is>
      </c>
    </row>
    <row r="6">
      <c r="B6" s="4" t="inlineStr">
        <is>
          <t>Small and Medium Enterprises (SMEs) make up roughly 90% of all businesses in Pakistan and contribute about 40%</t>
        </is>
      </c>
    </row>
    <row r="7">
      <c r="B7" s="4" t="inlineStr">
        <is>
          <t>of GDP, yet receive under 8-10% of total private-sector bank credit (State Bank of Pakistan, SBP SME Finance</t>
        </is>
      </c>
    </row>
    <row r="8">
      <c r="B8" s="4" t="inlineStr">
        <is>
          <t>data). The core reason is not that SMEs are inherently bad credit risks - it is that most cannot produce what</t>
        </is>
      </c>
    </row>
    <row r="9">
      <c r="B9" s="4" t="inlineStr">
        <is>
          <t>traditional bank underwriting requires: audited financial statements, a multi-year credit bureau history, and</t>
        </is>
      </c>
    </row>
    <row r="10">
      <c r="B10" s="4" t="inlineStr">
        <is>
          <t>hard collateral. A tea-stall owner, a home-based tailor, or a small trading shop simply does not have a paper</t>
        </is>
      </c>
    </row>
    <row r="11">
      <c r="B11" s="4" t="inlineStr">
        <is>
          <t>trail a bank scorecard recognises, even if their cash flow is healthy.</t>
        </is>
      </c>
    </row>
    <row r="12">
      <c r="B12" s="4" t="inlineStr"/>
    </row>
    <row r="13">
      <c r="B13" s="4" t="inlineStr">
        <is>
          <t>Fintech lenders worldwide (Tala, Branch, Konfio, and Pakistani players like Finja, Kalo, and CreditFix) have</t>
        </is>
      </c>
    </row>
    <row r="14">
      <c r="B14" s="4" t="inlineStr">
        <is>
          <t>shown that 'alternative data' - mobile top-up behaviour, utility bill payment history, digital wallet cash</t>
        </is>
      </c>
    </row>
    <row r="15">
      <c r="B15" s="4" t="inlineStr">
        <is>
          <t>flow, and trade references - can substitute for a formal credit file and predict repayment behaviour almost</t>
        </is>
      </c>
    </row>
    <row r="16">
      <c r="B16" s="4" t="inlineStr">
        <is>
          <t>as well as a traditional bureau score, at a fraction of the onboarding cost and time.</t>
        </is>
      </c>
    </row>
    <row r="18">
      <c r="B18" s="3" t="inlineStr">
        <is>
          <t>THE MODEL</t>
        </is>
      </c>
    </row>
    <row r="19">
      <c r="B19" s="4" t="inlineStr">
        <is>
          <t>This workbook builds an 8-factor, points-based scorecard (FICO-style) using only data an SME can generate</t>
        </is>
      </c>
    </row>
    <row r="20">
      <c r="B20" s="4" t="inlineStr">
        <is>
          <t>through its phone and daily operations - no bank statement or collateral required:</t>
        </is>
      </c>
    </row>
    <row r="21">
      <c r="B21" s="4" t="inlineStr">
        <is>
          <t xml:space="preserve">  1. Business age (months trading)          5. Digital transaction volume growth (YoY %)</t>
        </is>
      </c>
    </row>
    <row r="22">
      <c r="B22" s="4" t="inlineStr">
        <is>
          <t xml:space="preserve">  2. Avg. monthly digital cash flow (PKR)    6. Verifiable trade/supplier references</t>
        </is>
      </c>
    </row>
    <row r="23">
      <c r="B23" s="4" t="inlineStr">
        <is>
          <t xml:space="preserve">  3. Utility bill payment consistency (%)    7. Existing informal debt burden (% of cash flow)</t>
        </is>
      </c>
    </row>
    <row r="24">
      <c r="B24" s="4" t="inlineStr">
        <is>
          <t xml:space="preserve">  4. Mobile wallet/top-up regularity          8. Sector risk category</t>
        </is>
      </c>
    </row>
    <row r="25">
      <c r="B25" s="4" t="inlineStr">
        <is>
          <t>Each factor is bucketed into a point range; points sum to a score rescaled to a familiar 300-850 band, which</t>
        </is>
      </c>
    </row>
    <row r="26">
      <c r="B26" s="4" t="inlineStr">
        <is>
          <t>then maps to a risk grade (A-D), an approve/refer/decline decision, and a risk-based indicative interest rate.</t>
        </is>
      </c>
    </row>
    <row r="28">
      <c r="B28" s="3" t="inlineStr">
        <is>
          <t>HOW TO USE</t>
        </is>
      </c>
    </row>
    <row r="29">
      <c r="B29" s="4" t="inlineStr">
        <is>
          <t>1. 'Scorecard Calculator' - enter one applicant's data in the yellow cells; the sheet computes score, grade,</t>
        </is>
      </c>
    </row>
    <row r="30">
      <c r="B30" s="4" t="inlineStr">
        <is>
          <t xml:space="preserve">   decision and suggested pricing instantly.</t>
        </is>
      </c>
    </row>
    <row r="31">
      <c r="B31" s="4" t="inlineStr">
        <is>
          <t>2. 'Applicant Portfolio' - a simulated book of 40 SME applicants with the scorecard applied to every one, plus</t>
        </is>
      </c>
    </row>
    <row r="32">
      <c r="B32" s="4" t="inlineStr">
        <is>
          <t xml:space="preserve">   a synthetic 'actual outcome' (repaid/defaulted) used purely to sanity-check that the score separates good</t>
        </is>
      </c>
    </row>
    <row r="33">
      <c r="B33" s="4" t="inlineStr">
        <is>
          <t xml:space="preserve">   from bad borrowers (a simplified model-validation exercise).</t>
        </is>
      </c>
    </row>
    <row r="34">
      <c r="B34" s="4" t="inlineStr">
        <is>
          <t>3. 'Dashboard' - score distribution, approval-rate and default-rate by risk grade.</t>
        </is>
      </c>
    </row>
    <row r="35">
      <c r="B35" s="4" t="inlineStr">
        <is>
          <t>4. 'Insights' - findings and how this would be extended into a production credit-risk model.</t>
        </is>
      </c>
    </row>
    <row r="37">
      <c r="B37" s="3" t="inlineStr">
        <is>
          <t>DATA NOTE</t>
        </is>
      </c>
    </row>
    <row r="38">
      <c r="B38" s="4" t="inlineStr">
        <is>
          <t>Scorecard weights are illustrative, built by adapting common micro/SME alternative-credit-scoring literature</t>
        </is>
      </c>
    </row>
    <row r="39">
      <c r="B39" s="4" t="inlineStr">
        <is>
          <t>(IFC, CGAP, EFL/Tiresias psychometric scoring studies) to a Pakistani SME context. The 40 applicants and their</t>
        </is>
      </c>
    </row>
    <row r="40">
      <c r="B40" s="4" t="inlineStr">
        <is>
          <t>outcomes in 'Applicant Portfolio' are synthetic data generated to demonstrate the scoring logic and a basic</t>
        </is>
      </c>
    </row>
    <row r="41">
      <c r="B41" s="4" t="inlineStr">
        <is>
          <t>validation approach, not real borrower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34" customWidth="1" min="3" max="3"/>
    <col width="10" customWidth="1" min="4" max="4"/>
  </cols>
  <sheetData>
    <row r="2">
      <c r="B2" s="1" t="inlineStr">
        <is>
          <t>Scorecard Point Tables</t>
        </is>
      </c>
    </row>
    <row r="3">
      <c r="B3" s="2" t="inlineStr">
        <is>
          <t>Each factor is bucketed below; the calculator looks up the matching bucket's points.</t>
        </is>
      </c>
    </row>
    <row r="5">
      <c r="B5" s="5" t="inlineStr">
        <is>
          <t>1. Business Age (months trading)</t>
        </is>
      </c>
    </row>
    <row r="6">
      <c r="C6" s="6" t="inlineStr">
        <is>
          <t>&lt; 6</t>
        </is>
      </c>
      <c r="D6" s="6" t="n">
        <v>0</v>
      </c>
    </row>
    <row r="7">
      <c r="C7" s="6" t="inlineStr">
        <is>
          <t>6-12</t>
        </is>
      </c>
      <c r="D7" s="6" t="n">
        <v>10</v>
      </c>
    </row>
    <row r="8">
      <c r="C8" s="6" t="inlineStr">
        <is>
          <t>12-24</t>
        </is>
      </c>
      <c r="D8" s="6" t="n">
        <v>20</v>
      </c>
    </row>
    <row r="9">
      <c r="C9" s="6" t="inlineStr">
        <is>
          <t>24-60</t>
        </is>
      </c>
      <c r="D9" s="6" t="n">
        <v>35</v>
      </c>
    </row>
    <row r="10">
      <c r="C10" s="6" t="inlineStr">
        <is>
          <t>60+</t>
        </is>
      </c>
      <c r="D10" s="6" t="n">
        <v>50</v>
      </c>
    </row>
    <row r="12">
      <c r="B12" s="5" t="inlineStr">
        <is>
          <t>2. Avg Monthly Digital Cash Flow (PKR)</t>
        </is>
      </c>
    </row>
    <row r="13">
      <c r="C13" s="6" t="inlineStr">
        <is>
          <t>&lt; 50,000</t>
        </is>
      </c>
      <c r="D13" s="6" t="n">
        <v>0</v>
      </c>
    </row>
    <row r="14">
      <c r="C14" s="6" t="inlineStr">
        <is>
          <t>50,000-150,000</t>
        </is>
      </c>
      <c r="D14" s="6" t="n">
        <v>15</v>
      </c>
    </row>
    <row r="15">
      <c r="C15" s="6" t="inlineStr">
        <is>
          <t>150,000-400,000</t>
        </is>
      </c>
      <c r="D15" s="6" t="n">
        <v>30</v>
      </c>
    </row>
    <row r="16">
      <c r="C16" s="6" t="inlineStr">
        <is>
          <t>400,000-1,000,000</t>
        </is>
      </c>
      <c r="D16" s="6" t="n">
        <v>45</v>
      </c>
    </row>
    <row r="17">
      <c r="C17" s="6" t="inlineStr">
        <is>
          <t>1,000,000+</t>
        </is>
      </c>
      <c r="D17" s="6" t="n">
        <v>60</v>
      </c>
    </row>
    <row r="19">
      <c r="B19" s="5" t="inlineStr">
        <is>
          <t>3. Utility Bill Payment Consistency (% on-time, 12 mo)</t>
        </is>
      </c>
    </row>
    <row r="20">
      <c r="C20" s="6" t="inlineStr">
        <is>
          <t>&lt; 50%</t>
        </is>
      </c>
      <c r="D20" s="6" t="n">
        <v>0</v>
      </c>
    </row>
    <row r="21">
      <c r="C21" s="6" t="inlineStr">
        <is>
          <t>50-70%</t>
        </is>
      </c>
      <c r="D21" s="6" t="n">
        <v>10</v>
      </c>
    </row>
    <row r="22">
      <c r="C22" s="6" t="inlineStr">
        <is>
          <t>70-85%</t>
        </is>
      </c>
      <c r="D22" s="6" t="n">
        <v>25</v>
      </c>
    </row>
    <row r="23">
      <c r="C23" s="6" t="inlineStr">
        <is>
          <t>85-95%</t>
        </is>
      </c>
      <c r="D23" s="6" t="n">
        <v>40</v>
      </c>
    </row>
    <row r="24">
      <c r="C24" s="6" t="inlineStr">
        <is>
          <t>95%+</t>
        </is>
      </c>
      <c r="D24" s="6" t="n">
        <v>55</v>
      </c>
    </row>
    <row r="26">
      <c r="B26" s="5" t="inlineStr">
        <is>
          <t>4. Mobile Wallet / Top-up Regularity (txns/month)</t>
        </is>
      </c>
    </row>
    <row r="27">
      <c r="C27" s="6" t="inlineStr">
        <is>
          <t>&lt; 5</t>
        </is>
      </c>
      <c r="D27" s="6" t="n">
        <v>0</v>
      </c>
    </row>
    <row r="28">
      <c r="C28" s="6" t="inlineStr">
        <is>
          <t>5-15</t>
        </is>
      </c>
      <c r="D28" s="6" t="n">
        <v>10</v>
      </c>
    </row>
    <row r="29">
      <c r="C29" s="6" t="inlineStr">
        <is>
          <t>15-30</t>
        </is>
      </c>
      <c r="D29" s="6" t="n">
        <v>20</v>
      </c>
    </row>
    <row r="30">
      <c r="C30" s="6" t="inlineStr">
        <is>
          <t>30+</t>
        </is>
      </c>
      <c r="D30" s="6" t="n">
        <v>35</v>
      </c>
    </row>
    <row r="32">
      <c r="B32" s="5" t="inlineStr">
        <is>
          <t>5. Digital Transaction Volume Growth (YoY %)</t>
        </is>
      </c>
    </row>
    <row r="33">
      <c r="C33" s="6" t="inlineStr">
        <is>
          <t>Negative</t>
        </is>
      </c>
      <c r="D33" s="6" t="n">
        <v>0</v>
      </c>
    </row>
    <row r="34">
      <c r="C34" s="6" t="inlineStr">
        <is>
          <t>0-10%</t>
        </is>
      </c>
      <c r="D34" s="6" t="n">
        <v>10</v>
      </c>
    </row>
    <row r="35">
      <c r="C35" s="6" t="inlineStr">
        <is>
          <t>10-30%</t>
        </is>
      </c>
      <c r="D35" s="6" t="n">
        <v>25</v>
      </c>
    </row>
    <row r="36">
      <c r="C36" s="6" t="inlineStr">
        <is>
          <t>30%+</t>
        </is>
      </c>
      <c r="D36" s="6" t="n">
        <v>40</v>
      </c>
    </row>
    <row r="38">
      <c r="B38" s="5" t="inlineStr">
        <is>
          <t>6. Verifiable Trade / Supplier References (#)</t>
        </is>
      </c>
    </row>
    <row r="39">
      <c r="C39" s="6" t="inlineStr">
        <is>
          <t>0</t>
        </is>
      </c>
      <c r="D39" s="6" t="n">
        <v>0</v>
      </c>
    </row>
    <row r="40">
      <c r="C40" s="6" t="inlineStr">
        <is>
          <t>1</t>
        </is>
      </c>
      <c r="D40" s="6" t="n">
        <v>10</v>
      </c>
    </row>
    <row r="41">
      <c r="C41" s="6" t="inlineStr">
        <is>
          <t>2</t>
        </is>
      </c>
      <c r="D41" s="6" t="n">
        <v>20</v>
      </c>
    </row>
    <row r="42">
      <c r="C42" s="6" t="inlineStr">
        <is>
          <t>3+</t>
        </is>
      </c>
      <c r="D42" s="6" t="n">
        <v>30</v>
      </c>
    </row>
    <row r="44">
      <c r="B44" s="5" t="inlineStr">
        <is>
          <t>7. Informal Debt Burden (% of monthly cash flow)</t>
        </is>
      </c>
    </row>
    <row r="45">
      <c r="C45" s="6" t="inlineStr">
        <is>
          <t>&gt; 50%</t>
        </is>
      </c>
      <c r="D45" s="6" t="n">
        <v>0</v>
      </c>
    </row>
    <row r="46">
      <c r="C46" s="6" t="inlineStr">
        <is>
          <t>30-50%</t>
        </is>
      </c>
      <c r="D46" s="6" t="n">
        <v>10</v>
      </c>
    </row>
    <row r="47">
      <c r="C47" s="6" t="inlineStr">
        <is>
          <t>15-30%</t>
        </is>
      </c>
      <c r="D47" s="6" t="n">
        <v>25</v>
      </c>
    </row>
    <row r="48">
      <c r="C48" s="6" t="inlineStr">
        <is>
          <t>&lt; 15%</t>
        </is>
      </c>
      <c r="D48" s="6" t="n">
        <v>40</v>
      </c>
    </row>
    <row r="50">
      <c r="B50" s="5" t="inlineStr">
        <is>
          <t>8. Sector Risk Category</t>
        </is>
      </c>
    </row>
    <row r="51">
      <c r="C51" s="6" t="inlineStr">
        <is>
          <t>High (construction, transport)</t>
        </is>
      </c>
      <c r="D51" s="6" t="n">
        <v>0</v>
      </c>
    </row>
    <row r="52">
      <c r="C52" s="6" t="inlineStr">
        <is>
          <t>Medium (wholesale/trade, textiles)</t>
        </is>
      </c>
      <c r="D52" s="6" t="n">
        <v>15</v>
      </c>
    </row>
    <row r="53">
      <c r="C53" s="6" t="inlineStr">
        <is>
          <t>Low (retail, food, services)</t>
        </is>
      </c>
      <c r="D53" s="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4" customWidth="1" min="3" max="3"/>
    <col width="22" customWidth="1" min="4" max="4"/>
    <col width="10" customWidth="1" min="5" max="5"/>
  </cols>
  <sheetData>
    <row r="2">
      <c r="B2" s="1" t="inlineStr">
        <is>
          <t>SME Alternative Credit Scorecard - Single Applicant</t>
        </is>
      </c>
    </row>
    <row r="3">
      <c r="B3" s="2" t="inlineStr">
        <is>
          <t>Enter applicant data in the yellow cells.</t>
        </is>
      </c>
    </row>
    <row r="5">
      <c r="B5" t="inlineStr">
        <is>
          <t>Business age (months trading)</t>
        </is>
      </c>
      <c r="D5" s="7" t="n">
        <v>30</v>
      </c>
      <c r="E5" s="2" t="inlineStr">
        <is>
          <t>months</t>
        </is>
      </c>
    </row>
    <row r="6">
      <c r="B6" t="inlineStr">
        <is>
          <t>Avg monthly digital cash flow (PKR)</t>
        </is>
      </c>
      <c r="D6" s="7" t="n">
        <v>220000</v>
      </c>
      <c r="E6" s="2" t="inlineStr">
        <is>
          <t>PKR</t>
        </is>
      </c>
    </row>
    <row r="7">
      <c r="B7" t="inlineStr">
        <is>
          <t>Utility bill payment consistency (% on-time, last 12 months)</t>
        </is>
      </c>
      <c r="D7" s="7" t="n">
        <v>88</v>
      </c>
      <c r="E7" s="2" t="inlineStr">
        <is>
          <t>%</t>
        </is>
      </c>
    </row>
    <row r="8">
      <c r="B8" t="inlineStr">
        <is>
          <t>Mobile wallet / top-up transactions per month</t>
        </is>
      </c>
      <c r="D8" s="7" t="n">
        <v>22</v>
      </c>
      <c r="E8" s="2" t="inlineStr">
        <is>
          <t>count</t>
        </is>
      </c>
    </row>
    <row r="9">
      <c r="B9" t="inlineStr">
        <is>
          <t>Digital transaction volume growth YoY</t>
        </is>
      </c>
      <c r="D9" s="7" t="n">
        <v>18</v>
      </c>
      <c r="E9" s="2" t="inlineStr">
        <is>
          <t>%</t>
        </is>
      </c>
    </row>
    <row r="10">
      <c r="B10" t="inlineStr">
        <is>
          <t>Number of verifiable trade/supplier references</t>
        </is>
      </c>
      <c r="D10" s="7" t="n">
        <v>2</v>
      </c>
      <c r="E10" s="2" t="inlineStr">
        <is>
          <t>count</t>
        </is>
      </c>
    </row>
    <row r="11">
      <c r="B11" t="inlineStr">
        <is>
          <t>Existing informal debt burden (% of monthly cash flow)</t>
        </is>
      </c>
      <c r="D11" s="7" t="n">
        <v>20</v>
      </c>
      <c r="E11" s="2" t="inlineStr">
        <is>
          <t>%</t>
        </is>
      </c>
    </row>
    <row r="12">
      <c r="B12" t="inlineStr">
        <is>
          <t>Sector</t>
        </is>
      </c>
      <c r="D12" s="7" t="inlineStr">
        <is>
          <t>Low (retail, food, services)</t>
        </is>
      </c>
      <c r="E12" s="2" t="inlineStr">
        <is>
          <t>category</t>
        </is>
      </c>
    </row>
    <row r="14">
      <c r="B14" s="3" t="inlineStr">
        <is>
          <t>Factor Points</t>
        </is>
      </c>
    </row>
    <row r="15">
      <c r="B15" t="inlineStr">
        <is>
          <t>Business age</t>
        </is>
      </c>
      <c r="D15" s="6">
        <f>IF(D5&lt;6,0,IF(D5&lt;12,10,IF(D5&lt;24,20,IF(D5&lt;60,35,50))))</f>
        <v/>
      </c>
    </row>
    <row r="16">
      <c r="B16" t="inlineStr">
        <is>
          <t>Digital cash flow</t>
        </is>
      </c>
      <c r="D16" s="6">
        <f>IF(D6&lt;50000,0,IF(D6&lt;150000,15,IF(D6&lt;400000,30,IF(D6&lt;1000000,45,60))))</f>
        <v/>
      </c>
    </row>
    <row r="17">
      <c r="B17" t="inlineStr">
        <is>
          <t>Utility payment consistency</t>
        </is>
      </c>
      <c r="D17" s="6">
        <f>IF(D7&lt;50,0,IF(D7&lt;70,10,IF(D7&lt;85,25,IF(D7&lt;95,40,55))))</f>
        <v/>
      </c>
    </row>
    <row r="18">
      <c r="B18" t="inlineStr">
        <is>
          <t>Mobile wallet regularity</t>
        </is>
      </c>
      <c r="D18" s="6">
        <f>IF(D8&lt;5,0,IF(D8&lt;15,10,IF(D8&lt;30,20,35)))</f>
        <v/>
      </c>
    </row>
    <row r="19">
      <c r="B19" t="inlineStr">
        <is>
          <t>Transaction volume growth</t>
        </is>
      </c>
      <c r="D19" s="6">
        <f>IF(D9&lt;0,0,IF(D9&lt;10,10,IF(D9&lt;30,25,40)))</f>
        <v/>
      </c>
    </row>
    <row r="20">
      <c r="B20" t="inlineStr">
        <is>
          <t>Trade references</t>
        </is>
      </c>
      <c r="D20" s="6">
        <f>IF(D10=0,0,IF(D10=1,10,IF(D10=2,20,30)))</f>
        <v/>
      </c>
    </row>
    <row r="21">
      <c r="B21" t="inlineStr">
        <is>
          <t>Informal debt burden</t>
        </is>
      </c>
      <c r="D21" s="6">
        <f>IF(D11&gt;50,0,IF(D11&gt;30,10,IF(D11&gt;15,25,40)))</f>
        <v/>
      </c>
    </row>
    <row r="22">
      <c r="B22" t="inlineStr">
        <is>
          <t>Sector risk</t>
        </is>
      </c>
      <c r="D22" s="6">
        <f>IF(D12="High (construction, transport)",0,IF(D12="Medium (wholesale/trade, textiles)",15,30))</f>
        <v/>
      </c>
    </row>
    <row r="24">
      <c r="B24" s="8" t="inlineStr">
        <is>
          <t>Total Raw Points</t>
        </is>
      </c>
      <c r="D24" s="8">
        <f>SUM(D15:D22)</f>
        <v/>
      </c>
    </row>
    <row r="25">
      <c r="B25" s="8" t="inlineStr">
        <is>
          <t>Scaled Credit Score (300-850)</t>
        </is>
      </c>
      <c r="D25" s="9">
        <f>300+(D24/340)*550</f>
        <v/>
      </c>
    </row>
    <row r="26">
      <c r="B26" s="8" t="inlineStr">
        <is>
          <t>Risk Grade</t>
        </is>
      </c>
      <c r="D26" s="10">
        <f>IF(D25&gt;=750,"A - Prime",IF(D25&gt;=650,"B - Standard",IF(D25&gt;=550,"C - Sub-standard (refer)","D - High Risk (decline)")))</f>
        <v/>
      </c>
    </row>
    <row r="27">
      <c r="B27" s="8" t="inlineStr">
        <is>
          <t>Decision</t>
        </is>
      </c>
      <c r="D27" s="10">
        <f>IF(D25&gt;=750,"Approve - Fast Track",IF(D25&gt;=650,"Approve - Standard",IF(D25&gt;=550,"Refer to Manual Underwriting","Decline")))</f>
        <v/>
      </c>
    </row>
    <row r="28">
      <c r="B28" s="8" t="inlineStr">
        <is>
          <t>Indicative Risk-Based Annual Rate</t>
        </is>
      </c>
      <c r="D28" s="11">
        <f>IF(D25&gt;=750,0.18,IF(D25&gt;=650,0.24,IF(D25&gt;=550,0.32,0)))</f>
        <v/>
      </c>
    </row>
    <row r="29">
      <c r="B29" s="8" t="inlineStr">
        <is>
          <t>Suggested Max Loan (x monthly cash flow)</t>
        </is>
      </c>
      <c r="D29" s="12">
        <f>IF(D25&gt;=750,D6*4,IF(D25&gt;=650,D6*2.5,IF(D25&gt;=550,D6*1,0)))</f>
        <v/>
      </c>
    </row>
  </sheetData>
  <dataValidations count="1">
    <dataValidation sqref="D12" showDropDown="0" showInputMessage="0" showErrorMessage="0" allowBlank="0" type="list">
      <formula1>"High (construction, transport),Medium (wholesale/trade, textiles),Low (retail, food, services)"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22" customWidth="1" min="12" max="12"/>
    <col width="22" customWidth="1" min="13" max="13"/>
    <col width="18" customWidth="1" min="14" max="14"/>
  </cols>
  <sheetData>
    <row r="1">
      <c r="A1" s="13" t="inlineStr">
        <is>
          <t>Applicant ID</t>
        </is>
      </c>
      <c r="B1" s="13" t="inlineStr">
        <is>
          <t>Sector</t>
        </is>
      </c>
      <c r="C1" s="13" t="inlineStr">
        <is>
          <t>Business Age (mo)</t>
        </is>
      </c>
      <c r="D1" s="13" t="inlineStr">
        <is>
          <t>Monthly Cash Flow (PKR)</t>
        </is>
      </c>
      <c r="E1" s="13" t="inlineStr">
        <is>
          <t>Utility Payment %</t>
        </is>
      </c>
      <c r="F1" s="13" t="inlineStr">
        <is>
          <t>Wallet Txns/mo</t>
        </is>
      </c>
      <c r="G1" s="13" t="inlineStr">
        <is>
          <t>Txn Growth YoY %</t>
        </is>
      </c>
      <c r="H1" s="13" t="inlineStr">
        <is>
          <t>Trade Refs</t>
        </is>
      </c>
      <c r="I1" s="13" t="inlineStr">
        <is>
          <t>Informal Debt %</t>
        </is>
      </c>
      <c r="J1" s="13" t="inlineStr">
        <is>
          <t>Raw Points</t>
        </is>
      </c>
      <c r="K1" s="13" t="inlineStr">
        <is>
          <t>Score (300-850)</t>
        </is>
      </c>
      <c r="L1" s="13" t="inlineStr">
        <is>
          <t>Risk Grade</t>
        </is>
      </c>
      <c r="M1" s="13" t="inlineStr">
        <is>
          <t>Decision</t>
        </is>
      </c>
      <c r="N1" s="13" t="inlineStr">
        <is>
          <t>Actual Outcome (simulated)</t>
        </is>
      </c>
    </row>
    <row r="2">
      <c r="A2" s="6" t="inlineStr">
        <is>
          <t>SME-001</t>
        </is>
      </c>
      <c r="B2" s="6" t="inlineStr">
        <is>
          <t>Medium (wholesale/trade, textiles)</t>
        </is>
      </c>
      <c r="C2" s="6" t="n">
        <v>21</v>
      </c>
      <c r="D2" s="6" t="n">
        <v>848004</v>
      </c>
      <c r="E2" s="6" t="n">
        <v>36</v>
      </c>
      <c r="F2" s="6" t="n">
        <v>4</v>
      </c>
      <c r="G2" s="6" t="n">
        <v>48</v>
      </c>
      <c r="H2" s="6" t="n">
        <v>0</v>
      </c>
      <c r="I2" s="6" t="n">
        <v>46</v>
      </c>
      <c r="J2" s="6" t="n">
        <v>130</v>
      </c>
      <c r="K2" s="6" t="n">
        <v>510</v>
      </c>
      <c r="L2" s="6" t="inlineStr">
        <is>
          <t>D - High Risk (decline)</t>
        </is>
      </c>
      <c r="M2" s="6" t="inlineStr">
        <is>
          <t>Decline</t>
        </is>
      </c>
      <c r="N2" s="6" t="inlineStr">
        <is>
          <t>Repaid</t>
        </is>
      </c>
    </row>
    <row r="3">
      <c r="A3" s="6" t="inlineStr">
        <is>
          <t>SME-002</t>
        </is>
      </c>
      <c r="B3" s="6" t="inlineStr">
        <is>
          <t>Low (retail, food, services)</t>
        </is>
      </c>
      <c r="C3" s="6" t="n">
        <v>29</v>
      </c>
      <c r="D3" s="6" t="n">
        <v>98634</v>
      </c>
      <c r="E3" s="6" t="n">
        <v>41</v>
      </c>
      <c r="F3" s="6" t="n">
        <v>27</v>
      </c>
      <c r="G3" s="6" t="n">
        <v>33</v>
      </c>
      <c r="H3" s="6" t="n">
        <v>0</v>
      </c>
      <c r="I3" s="6" t="n">
        <v>30</v>
      </c>
      <c r="J3" s="6" t="n">
        <v>165</v>
      </c>
      <c r="K3" s="6" t="n">
        <v>567</v>
      </c>
      <c r="L3" s="6" t="inlineStr">
        <is>
          <t>C - Sub-standard (refer)</t>
        </is>
      </c>
      <c r="M3" s="6" t="inlineStr">
        <is>
          <t>Refer to Manual Underwriting</t>
        </is>
      </c>
      <c r="N3" s="6" t="inlineStr">
        <is>
          <t>Defaulted</t>
        </is>
      </c>
    </row>
    <row r="4">
      <c r="A4" s="6" t="inlineStr">
        <is>
          <t>SME-003</t>
        </is>
      </c>
      <c r="B4" s="6" t="inlineStr">
        <is>
          <t>Medium (wholesale/trade, textiles)</t>
        </is>
      </c>
      <c r="C4" s="6" t="n">
        <v>9</v>
      </c>
      <c r="D4" s="6" t="n">
        <v>1205842</v>
      </c>
      <c r="E4" s="6" t="n">
        <v>45</v>
      </c>
      <c r="F4" s="6" t="n">
        <v>14</v>
      </c>
      <c r="G4" s="6" t="n">
        <v>60</v>
      </c>
      <c r="H4" s="6" t="n">
        <v>3</v>
      </c>
      <c r="I4" s="6" t="n">
        <v>7</v>
      </c>
      <c r="J4" s="6" t="n">
        <v>205</v>
      </c>
      <c r="K4" s="6" t="n">
        <v>632</v>
      </c>
      <c r="L4" s="6" t="inlineStr">
        <is>
          <t>C - Sub-standard (refer)</t>
        </is>
      </c>
      <c r="M4" s="6" t="inlineStr">
        <is>
          <t>Refer to Manual Underwriting</t>
        </is>
      </c>
      <c r="N4" s="6" t="inlineStr">
        <is>
          <t>Repaid</t>
        </is>
      </c>
    </row>
    <row r="5">
      <c r="A5" s="6" t="inlineStr">
        <is>
          <t>SME-004</t>
        </is>
      </c>
      <c r="B5" s="6" t="inlineStr">
        <is>
          <t>Medium (wholesale/trade, textiles)</t>
        </is>
      </c>
      <c r="C5" s="6" t="n">
        <v>8</v>
      </c>
      <c r="D5" s="6" t="n">
        <v>483642</v>
      </c>
      <c r="E5" s="6" t="n">
        <v>35</v>
      </c>
      <c r="F5" s="6" t="n">
        <v>35</v>
      </c>
      <c r="G5" s="6" t="n">
        <v>-3</v>
      </c>
      <c r="H5" s="6" t="n">
        <v>1</v>
      </c>
      <c r="I5" s="6" t="n">
        <v>53</v>
      </c>
      <c r="J5" s="6" t="n">
        <v>115</v>
      </c>
      <c r="K5" s="6" t="n">
        <v>486</v>
      </c>
      <c r="L5" s="6" t="inlineStr">
        <is>
          <t>D - High Risk (decline)</t>
        </is>
      </c>
      <c r="M5" s="6" t="inlineStr">
        <is>
          <t>Decline</t>
        </is>
      </c>
      <c r="N5" s="6" t="inlineStr">
        <is>
          <t>Defaulted</t>
        </is>
      </c>
    </row>
    <row r="6">
      <c r="A6" s="6" t="inlineStr">
        <is>
          <t>SME-005</t>
        </is>
      </c>
      <c r="B6" s="6" t="inlineStr">
        <is>
          <t>High (construction, transport)</t>
        </is>
      </c>
      <c r="C6" s="6" t="n">
        <v>75</v>
      </c>
      <c r="D6" s="6" t="n">
        <v>666933</v>
      </c>
      <c r="E6" s="6" t="n">
        <v>53</v>
      </c>
      <c r="F6" s="6" t="n">
        <v>6</v>
      </c>
      <c r="G6" s="6" t="n">
        <v>54</v>
      </c>
      <c r="H6" s="6" t="n">
        <v>2</v>
      </c>
      <c r="I6" s="6" t="n">
        <v>24</v>
      </c>
      <c r="J6" s="6" t="n">
        <v>200</v>
      </c>
      <c r="K6" s="6" t="n">
        <v>624</v>
      </c>
      <c r="L6" s="6" t="inlineStr">
        <is>
          <t>C - Sub-standard (refer)</t>
        </is>
      </c>
      <c r="M6" s="6" t="inlineStr">
        <is>
          <t>Refer to Manual Underwriting</t>
        </is>
      </c>
      <c r="N6" s="6" t="inlineStr">
        <is>
          <t>Repaid</t>
        </is>
      </c>
    </row>
    <row r="7">
      <c r="A7" s="6" t="inlineStr">
        <is>
          <t>SME-006</t>
        </is>
      </c>
      <c r="B7" s="6" t="inlineStr">
        <is>
          <t>Low (retail, food, services)</t>
        </is>
      </c>
      <c r="C7" s="6" t="n">
        <v>93</v>
      </c>
      <c r="D7" s="6" t="n">
        <v>151678</v>
      </c>
      <c r="E7" s="6" t="n">
        <v>37</v>
      </c>
      <c r="F7" s="6" t="n">
        <v>39</v>
      </c>
      <c r="G7" s="6" t="n">
        <v>6</v>
      </c>
      <c r="H7" s="6" t="n">
        <v>1</v>
      </c>
      <c r="I7" s="6" t="n">
        <v>68</v>
      </c>
      <c r="J7" s="6" t="n">
        <v>165</v>
      </c>
      <c r="K7" s="6" t="n">
        <v>567</v>
      </c>
      <c r="L7" s="6" t="inlineStr">
        <is>
          <t>C - Sub-standard (refer)</t>
        </is>
      </c>
      <c r="M7" s="6" t="inlineStr">
        <is>
          <t>Refer to Manual Underwriting</t>
        </is>
      </c>
      <c r="N7" s="6" t="inlineStr">
        <is>
          <t>Repaid</t>
        </is>
      </c>
    </row>
    <row r="8">
      <c r="A8" s="6" t="inlineStr">
        <is>
          <t>SME-007</t>
        </is>
      </c>
      <c r="B8" s="6" t="inlineStr">
        <is>
          <t>Medium (wholesale/trade, textiles)</t>
        </is>
      </c>
      <c r="C8" s="6" t="n">
        <v>61</v>
      </c>
      <c r="D8" s="6" t="n">
        <v>1248012</v>
      </c>
      <c r="E8" s="6" t="n">
        <v>88</v>
      </c>
      <c r="F8" s="6" t="n">
        <v>23</v>
      </c>
      <c r="G8" s="6" t="n">
        <v>18</v>
      </c>
      <c r="H8" s="6" t="n">
        <v>0</v>
      </c>
      <c r="I8" s="6" t="n">
        <v>23</v>
      </c>
      <c r="J8" s="6" t="n">
        <v>235</v>
      </c>
      <c r="K8" s="6" t="n">
        <v>680</v>
      </c>
      <c r="L8" s="6" t="inlineStr">
        <is>
          <t>B - Standard</t>
        </is>
      </c>
      <c r="M8" s="6" t="inlineStr">
        <is>
          <t>Approve - Standard</t>
        </is>
      </c>
      <c r="N8" s="6" t="inlineStr">
        <is>
          <t>Repaid</t>
        </is>
      </c>
    </row>
    <row r="9">
      <c r="A9" s="6" t="inlineStr">
        <is>
          <t>SME-008</t>
        </is>
      </c>
      <c r="B9" s="6" t="inlineStr">
        <is>
          <t>High (construction, transport)</t>
        </is>
      </c>
      <c r="C9" s="6" t="n">
        <v>12</v>
      </c>
      <c r="D9" s="6" t="n">
        <v>1224653</v>
      </c>
      <c r="E9" s="6" t="n">
        <v>68</v>
      </c>
      <c r="F9" s="6" t="n">
        <v>33</v>
      </c>
      <c r="G9" s="6" t="n">
        <v>43</v>
      </c>
      <c r="H9" s="6" t="n">
        <v>1</v>
      </c>
      <c r="I9" s="6" t="n">
        <v>57</v>
      </c>
      <c r="J9" s="6" t="n">
        <v>175</v>
      </c>
      <c r="K9" s="6" t="n">
        <v>583</v>
      </c>
      <c r="L9" s="6" t="inlineStr">
        <is>
          <t>C - Sub-standard (refer)</t>
        </is>
      </c>
      <c r="M9" s="6" t="inlineStr">
        <is>
          <t>Refer to Manual Underwriting</t>
        </is>
      </c>
      <c r="N9" s="6" t="inlineStr">
        <is>
          <t>Defaulted</t>
        </is>
      </c>
    </row>
    <row r="10">
      <c r="A10" s="6" t="inlineStr">
        <is>
          <t>SME-009</t>
        </is>
      </c>
      <c r="B10" s="6" t="inlineStr">
        <is>
          <t>High (construction, transport)</t>
        </is>
      </c>
      <c r="C10" s="6" t="n">
        <v>17</v>
      </c>
      <c r="D10" s="6" t="n">
        <v>1093600</v>
      </c>
      <c r="E10" s="6" t="n">
        <v>83</v>
      </c>
      <c r="F10" s="6" t="n">
        <v>10</v>
      </c>
      <c r="G10" s="6" t="n">
        <v>23</v>
      </c>
      <c r="H10" s="6" t="n">
        <v>0</v>
      </c>
      <c r="I10" s="6" t="n">
        <v>62</v>
      </c>
      <c r="J10" s="6" t="n">
        <v>140</v>
      </c>
      <c r="K10" s="6" t="n">
        <v>526</v>
      </c>
      <c r="L10" s="6" t="inlineStr">
        <is>
          <t>D - High Risk (decline)</t>
        </is>
      </c>
      <c r="M10" s="6" t="inlineStr">
        <is>
          <t>Decline</t>
        </is>
      </c>
      <c r="N10" s="6" t="inlineStr">
        <is>
          <t>Repaid</t>
        </is>
      </c>
    </row>
    <row r="11">
      <c r="A11" s="6" t="inlineStr">
        <is>
          <t>SME-010</t>
        </is>
      </c>
      <c r="B11" s="6" t="inlineStr">
        <is>
          <t>Low (retail, food, services)</t>
        </is>
      </c>
      <c r="C11" s="6" t="n">
        <v>11</v>
      </c>
      <c r="D11" s="6" t="n">
        <v>1190369</v>
      </c>
      <c r="E11" s="6" t="n">
        <v>70</v>
      </c>
      <c r="F11" s="6" t="n">
        <v>21</v>
      </c>
      <c r="G11" s="6" t="n">
        <v>24</v>
      </c>
      <c r="H11" s="6" t="n">
        <v>2</v>
      </c>
      <c r="I11" s="6" t="n">
        <v>63</v>
      </c>
      <c r="J11" s="6" t="n">
        <v>190</v>
      </c>
      <c r="K11" s="6" t="n">
        <v>607</v>
      </c>
      <c r="L11" s="6" t="inlineStr">
        <is>
          <t>C - Sub-standard (refer)</t>
        </is>
      </c>
      <c r="M11" s="6" t="inlineStr">
        <is>
          <t>Refer to Manual Underwriting</t>
        </is>
      </c>
      <c r="N11" s="6" t="inlineStr">
        <is>
          <t>Repaid</t>
        </is>
      </c>
    </row>
    <row r="12">
      <c r="A12" s="6" t="inlineStr">
        <is>
          <t>SME-011</t>
        </is>
      </c>
      <c r="B12" s="6" t="inlineStr">
        <is>
          <t>Medium (wholesale/trade, textiles)</t>
        </is>
      </c>
      <c r="C12" s="6" t="n">
        <v>10</v>
      </c>
      <c r="D12" s="6" t="n">
        <v>216285</v>
      </c>
      <c r="E12" s="6" t="n">
        <v>64</v>
      </c>
      <c r="F12" s="6" t="n">
        <v>30</v>
      </c>
      <c r="G12" s="6" t="n">
        <v>-12</v>
      </c>
      <c r="H12" s="6" t="n">
        <v>0</v>
      </c>
      <c r="I12" s="6" t="n">
        <v>39</v>
      </c>
      <c r="J12" s="6" t="n">
        <v>110</v>
      </c>
      <c r="K12" s="6" t="n">
        <v>478</v>
      </c>
      <c r="L12" s="6" t="inlineStr">
        <is>
          <t>D - High Risk (decline)</t>
        </is>
      </c>
      <c r="M12" s="6" t="inlineStr">
        <is>
          <t>Decline</t>
        </is>
      </c>
      <c r="N12" s="6" t="inlineStr">
        <is>
          <t>Repaid</t>
        </is>
      </c>
    </row>
    <row r="13">
      <c r="A13" s="6" t="inlineStr">
        <is>
          <t>SME-012</t>
        </is>
      </c>
      <c r="B13" s="6" t="inlineStr">
        <is>
          <t>Low (retail, food, services)</t>
        </is>
      </c>
      <c r="C13" s="6" t="n">
        <v>59</v>
      </c>
      <c r="D13" s="6" t="n">
        <v>616840</v>
      </c>
      <c r="E13" s="6" t="n">
        <v>79</v>
      </c>
      <c r="F13" s="6" t="n">
        <v>42</v>
      </c>
      <c r="G13" s="6" t="n">
        <v>24</v>
      </c>
      <c r="H13" s="6" t="n">
        <v>0</v>
      </c>
      <c r="I13" s="6" t="n">
        <v>59</v>
      </c>
      <c r="J13" s="6" t="n">
        <v>195</v>
      </c>
      <c r="K13" s="6" t="n">
        <v>615</v>
      </c>
      <c r="L13" s="6" t="inlineStr">
        <is>
          <t>C - Sub-standard (refer)</t>
        </is>
      </c>
      <c r="M13" s="6" t="inlineStr">
        <is>
          <t>Refer to Manual Underwriting</t>
        </is>
      </c>
      <c r="N13" s="6" t="inlineStr">
        <is>
          <t>Repaid</t>
        </is>
      </c>
    </row>
    <row r="14">
      <c r="A14" s="6" t="inlineStr">
        <is>
          <t>SME-013</t>
        </is>
      </c>
      <c r="B14" s="6" t="inlineStr">
        <is>
          <t>Low (retail, food, services)</t>
        </is>
      </c>
      <c r="C14" s="6" t="n">
        <v>16</v>
      </c>
      <c r="D14" s="6" t="n">
        <v>1055349</v>
      </c>
      <c r="E14" s="6" t="n">
        <v>37</v>
      </c>
      <c r="F14" s="6" t="n">
        <v>13</v>
      </c>
      <c r="G14" s="6" t="n">
        <v>16</v>
      </c>
      <c r="H14" s="6" t="n">
        <v>0</v>
      </c>
      <c r="I14" s="6" t="n">
        <v>31</v>
      </c>
      <c r="J14" s="6" t="n">
        <v>155</v>
      </c>
      <c r="K14" s="6" t="n">
        <v>551</v>
      </c>
      <c r="L14" s="6" t="inlineStr">
        <is>
          <t>C - Sub-standard (refer)</t>
        </is>
      </c>
      <c r="M14" s="6" t="inlineStr">
        <is>
          <t>Refer to Manual Underwriting</t>
        </is>
      </c>
      <c r="N14" s="6" t="inlineStr">
        <is>
          <t>Repaid</t>
        </is>
      </c>
    </row>
    <row r="15">
      <c r="A15" s="6" t="inlineStr">
        <is>
          <t>SME-014</t>
        </is>
      </c>
      <c r="B15" s="6" t="inlineStr">
        <is>
          <t>Medium (wholesale/trade, textiles)</t>
        </is>
      </c>
      <c r="C15" s="6" t="n">
        <v>12</v>
      </c>
      <c r="D15" s="6" t="n">
        <v>368895</v>
      </c>
      <c r="E15" s="6" t="n">
        <v>87</v>
      </c>
      <c r="F15" s="6" t="n">
        <v>25</v>
      </c>
      <c r="G15" s="6" t="n">
        <v>50</v>
      </c>
      <c r="H15" s="6" t="n">
        <v>1</v>
      </c>
      <c r="I15" s="6" t="n">
        <v>17</v>
      </c>
      <c r="J15" s="6" t="n">
        <v>200</v>
      </c>
      <c r="K15" s="6" t="n">
        <v>624</v>
      </c>
      <c r="L15" s="6" t="inlineStr">
        <is>
          <t>C - Sub-standard (refer)</t>
        </is>
      </c>
      <c r="M15" s="6" t="inlineStr">
        <is>
          <t>Refer to Manual Underwriting</t>
        </is>
      </c>
      <c r="N15" s="6" t="inlineStr">
        <is>
          <t>Repaid</t>
        </is>
      </c>
    </row>
    <row r="16">
      <c r="A16" s="6" t="inlineStr">
        <is>
          <t>SME-015</t>
        </is>
      </c>
      <c r="B16" s="6" t="inlineStr">
        <is>
          <t>Low (retail, food, services)</t>
        </is>
      </c>
      <c r="C16" s="6" t="n">
        <v>37</v>
      </c>
      <c r="D16" s="6" t="n">
        <v>890939</v>
      </c>
      <c r="E16" s="6" t="n">
        <v>75</v>
      </c>
      <c r="F16" s="6" t="n">
        <v>43</v>
      </c>
      <c r="G16" s="6" t="n">
        <v>28</v>
      </c>
      <c r="H16" s="6" t="n">
        <v>0</v>
      </c>
      <c r="I16" s="6" t="n">
        <v>19</v>
      </c>
      <c r="J16" s="6" t="n">
        <v>220</v>
      </c>
      <c r="K16" s="6" t="n">
        <v>656</v>
      </c>
      <c r="L16" s="6" t="inlineStr">
        <is>
          <t>B - Standard</t>
        </is>
      </c>
      <c r="M16" s="6" t="inlineStr">
        <is>
          <t>Approve - Standard</t>
        </is>
      </c>
      <c r="N16" s="6" t="inlineStr">
        <is>
          <t>Defaulted</t>
        </is>
      </c>
    </row>
    <row r="17">
      <c r="A17" s="6" t="inlineStr">
        <is>
          <t>SME-016</t>
        </is>
      </c>
      <c r="B17" s="6" t="inlineStr">
        <is>
          <t>High (construction, transport)</t>
        </is>
      </c>
      <c r="C17" s="6" t="n">
        <v>31</v>
      </c>
      <c r="D17" s="6" t="n">
        <v>1401009</v>
      </c>
      <c r="E17" s="6" t="n">
        <v>59</v>
      </c>
      <c r="F17" s="6" t="n">
        <v>0</v>
      </c>
      <c r="G17" s="6" t="n">
        <v>42</v>
      </c>
      <c r="H17" s="6" t="n">
        <v>2</v>
      </c>
      <c r="I17" s="6" t="n">
        <v>23</v>
      </c>
      <c r="J17" s="6" t="n">
        <v>190</v>
      </c>
      <c r="K17" s="6" t="n">
        <v>607</v>
      </c>
      <c r="L17" s="6" t="inlineStr">
        <is>
          <t>C - Sub-standard (refer)</t>
        </is>
      </c>
      <c r="M17" s="6" t="inlineStr">
        <is>
          <t>Refer to Manual Underwriting</t>
        </is>
      </c>
      <c r="N17" s="6" t="inlineStr">
        <is>
          <t>Defaulted</t>
        </is>
      </c>
    </row>
    <row r="18">
      <c r="A18" s="6" t="inlineStr">
        <is>
          <t>SME-017</t>
        </is>
      </c>
      <c r="B18" s="6" t="inlineStr">
        <is>
          <t>High (construction, transport)</t>
        </is>
      </c>
      <c r="C18" s="6" t="n">
        <v>20</v>
      </c>
      <c r="D18" s="6" t="n">
        <v>898594</v>
      </c>
      <c r="E18" s="6" t="n">
        <v>98</v>
      </c>
      <c r="F18" s="6" t="n">
        <v>23</v>
      </c>
      <c r="G18" s="6" t="n">
        <v>58</v>
      </c>
      <c r="H18" s="6" t="n">
        <v>2</v>
      </c>
      <c r="I18" s="6" t="n">
        <v>40</v>
      </c>
      <c r="J18" s="6" t="n">
        <v>210</v>
      </c>
      <c r="K18" s="6" t="n">
        <v>640</v>
      </c>
      <c r="L18" s="6" t="inlineStr">
        <is>
          <t>C - Sub-standard (refer)</t>
        </is>
      </c>
      <c r="M18" s="6" t="inlineStr">
        <is>
          <t>Refer to Manual Underwriting</t>
        </is>
      </c>
      <c r="N18" s="6" t="inlineStr">
        <is>
          <t>Repaid</t>
        </is>
      </c>
    </row>
    <row r="19">
      <c r="A19" s="6" t="inlineStr">
        <is>
          <t>SME-018</t>
        </is>
      </c>
      <c r="B19" s="6" t="inlineStr">
        <is>
          <t>Low (retail, food, services)</t>
        </is>
      </c>
      <c r="C19" s="6" t="n">
        <v>67</v>
      </c>
      <c r="D19" s="6" t="n">
        <v>1315185</v>
      </c>
      <c r="E19" s="6" t="n">
        <v>36</v>
      </c>
      <c r="F19" s="6" t="n">
        <v>29</v>
      </c>
      <c r="G19" s="6" t="n">
        <v>51</v>
      </c>
      <c r="H19" s="6" t="n">
        <v>1</v>
      </c>
      <c r="I19" s="6" t="n">
        <v>50</v>
      </c>
      <c r="J19" s="6" t="n">
        <v>220</v>
      </c>
      <c r="K19" s="6" t="n">
        <v>656</v>
      </c>
      <c r="L19" s="6" t="inlineStr">
        <is>
          <t>B - Standard</t>
        </is>
      </c>
      <c r="M19" s="6" t="inlineStr">
        <is>
          <t>Approve - Standard</t>
        </is>
      </c>
      <c r="N19" s="6" t="inlineStr">
        <is>
          <t>Repaid</t>
        </is>
      </c>
    </row>
    <row r="20">
      <c r="A20" s="6" t="inlineStr">
        <is>
          <t>SME-019</t>
        </is>
      </c>
      <c r="B20" s="6" t="inlineStr">
        <is>
          <t>High (construction, transport)</t>
        </is>
      </c>
      <c r="C20" s="6" t="n">
        <v>63</v>
      </c>
      <c r="D20" s="6" t="n">
        <v>1350201</v>
      </c>
      <c r="E20" s="6" t="n">
        <v>81</v>
      </c>
      <c r="F20" s="6" t="n">
        <v>3</v>
      </c>
      <c r="G20" s="6" t="n">
        <v>4</v>
      </c>
      <c r="H20" s="6" t="n">
        <v>0</v>
      </c>
      <c r="I20" s="6" t="n">
        <v>26</v>
      </c>
      <c r="J20" s="6" t="n">
        <v>170</v>
      </c>
      <c r="K20" s="6" t="n">
        <v>575</v>
      </c>
      <c r="L20" s="6" t="inlineStr">
        <is>
          <t>C - Sub-standard (refer)</t>
        </is>
      </c>
      <c r="M20" s="6" t="inlineStr">
        <is>
          <t>Refer to Manual Underwriting</t>
        </is>
      </c>
      <c r="N20" s="6" t="inlineStr">
        <is>
          <t>Repaid</t>
        </is>
      </c>
    </row>
    <row r="21">
      <c r="A21" s="6" t="inlineStr">
        <is>
          <t>SME-020</t>
        </is>
      </c>
      <c r="B21" s="6" t="inlineStr">
        <is>
          <t>High (construction, transport)</t>
        </is>
      </c>
      <c r="C21" s="6" t="n">
        <v>45</v>
      </c>
      <c r="D21" s="6" t="n">
        <v>1279816</v>
      </c>
      <c r="E21" s="6" t="n">
        <v>36</v>
      </c>
      <c r="F21" s="6" t="n">
        <v>6</v>
      </c>
      <c r="G21" s="6" t="n">
        <v>-20</v>
      </c>
      <c r="H21" s="6" t="n">
        <v>2</v>
      </c>
      <c r="I21" s="6" t="n">
        <v>19</v>
      </c>
      <c r="J21" s="6" t="n">
        <v>150</v>
      </c>
      <c r="K21" s="6" t="n">
        <v>543</v>
      </c>
      <c r="L21" s="6" t="inlineStr">
        <is>
          <t>D - High Risk (decline)</t>
        </is>
      </c>
      <c r="M21" s="6" t="inlineStr">
        <is>
          <t>Decline</t>
        </is>
      </c>
      <c r="N21" s="6" t="inlineStr">
        <is>
          <t>Repaid</t>
        </is>
      </c>
    </row>
    <row r="22">
      <c r="A22" s="6" t="inlineStr">
        <is>
          <t>SME-021</t>
        </is>
      </c>
      <c r="B22" s="6" t="inlineStr">
        <is>
          <t>Medium (wholesale/trade, textiles)</t>
        </is>
      </c>
      <c r="C22" s="6" t="n">
        <v>80</v>
      </c>
      <c r="D22" s="6" t="n">
        <v>73479</v>
      </c>
      <c r="E22" s="6" t="n">
        <v>39</v>
      </c>
      <c r="F22" s="6" t="n">
        <v>13</v>
      </c>
      <c r="G22" s="6" t="n">
        <v>58</v>
      </c>
      <c r="H22" s="6" t="n">
        <v>1</v>
      </c>
      <c r="I22" s="6" t="n">
        <v>19</v>
      </c>
      <c r="J22" s="6" t="n">
        <v>165</v>
      </c>
      <c r="K22" s="6" t="n">
        <v>567</v>
      </c>
      <c r="L22" s="6" t="inlineStr">
        <is>
          <t>C - Sub-standard (refer)</t>
        </is>
      </c>
      <c r="M22" s="6" t="inlineStr">
        <is>
          <t>Refer to Manual Underwriting</t>
        </is>
      </c>
      <c r="N22" s="6" t="inlineStr">
        <is>
          <t>Repaid</t>
        </is>
      </c>
    </row>
    <row r="23">
      <c r="A23" s="6" t="inlineStr">
        <is>
          <t>SME-022</t>
        </is>
      </c>
      <c r="B23" s="6" t="inlineStr">
        <is>
          <t>Medium (wholesale/trade, textiles)</t>
        </is>
      </c>
      <c r="C23" s="6" t="n">
        <v>79</v>
      </c>
      <c r="D23" s="6" t="n">
        <v>783706</v>
      </c>
      <c r="E23" s="6" t="n">
        <v>90</v>
      </c>
      <c r="F23" s="6" t="n">
        <v>7</v>
      </c>
      <c r="G23" s="6" t="n">
        <v>-6</v>
      </c>
      <c r="H23" s="6" t="n">
        <v>1</v>
      </c>
      <c r="I23" s="6" t="n">
        <v>59</v>
      </c>
      <c r="J23" s="6" t="n">
        <v>170</v>
      </c>
      <c r="K23" s="6" t="n">
        <v>575</v>
      </c>
      <c r="L23" s="6" t="inlineStr">
        <is>
          <t>C - Sub-standard (refer)</t>
        </is>
      </c>
      <c r="M23" s="6" t="inlineStr">
        <is>
          <t>Refer to Manual Underwriting</t>
        </is>
      </c>
      <c r="N23" s="6" t="inlineStr">
        <is>
          <t>Repaid</t>
        </is>
      </c>
    </row>
    <row r="24">
      <c r="A24" s="6" t="inlineStr">
        <is>
          <t>SME-023</t>
        </is>
      </c>
      <c r="B24" s="6" t="inlineStr">
        <is>
          <t>Medium (wholesale/trade, textiles)</t>
        </is>
      </c>
      <c r="C24" s="6" t="n">
        <v>12</v>
      </c>
      <c r="D24" s="6" t="n">
        <v>322236</v>
      </c>
      <c r="E24" s="6" t="n">
        <v>43</v>
      </c>
      <c r="F24" s="6" t="n">
        <v>21</v>
      </c>
      <c r="G24" s="6" t="n">
        <v>13</v>
      </c>
      <c r="H24" s="6" t="n">
        <v>1</v>
      </c>
      <c r="I24" s="6" t="n">
        <v>20</v>
      </c>
      <c r="J24" s="6" t="n">
        <v>145</v>
      </c>
      <c r="K24" s="6" t="n">
        <v>535</v>
      </c>
      <c r="L24" s="6" t="inlineStr">
        <is>
          <t>D - High Risk (decline)</t>
        </is>
      </c>
      <c r="M24" s="6" t="inlineStr">
        <is>
          <t>Decline</t>
        </is>
      </c>
      <c r="N24" s="6" t="inlineStr">
        <is>
          <t>Repaid</t>
        </is>
      </c>
    </row>
    <row r="25">
      <c r="A25" s="6" t="inlineStr">
        <is>
          <t>SME-024</t>
        </is>
      </c>
      <c r="B25" s="6" t="inlineStr">
        <is>
          <t>High (construction, transport)</t>
        </is>
      </c>
      <c r="C25" s="6" t="n">
        <v>69</v>
      </c>
      <c r="D25" s="6" t="n">
        <v>778649</v>
      </c>
      <c r="E25" s="6" t="n">
        <v>48</v>
      </c>
      <c r="F25" s="6" t="n">
        <v>44</v>
      </c>
      <c r="G25" s="6" t="n">
        <v>49</v>
      </c>
      <c r="H25" s="6" t="n">
        <v>0</v>
      </c>
      <c r="I25" s="6" t="n">
        <v>67</v>
      </c>
      <c r="J25" s="6" t="n">
        <v>170</v>
      </c>
      <c r="K25" s="6" t="n">
        <v>575</v>
      </c>
      <c r="L25" s="6" t="inlineStr">
        <is>
          <t>C - Sub-standard (refer)</t>
        </is>
      </c>
      <c r="M25" s="6" t="inlineStr">
        <is>
          <t>Refer to Manual Underwriting</t>
        </is>
      </c>
      <c r="N25" s="6" t="inlineStr">
        <is>
          <t>Defaulted</t>
        </is>
      </c>
    </row>
    <row r="26">
      <c r="A26" s="6" t="inlineStr">
        <is>
          <t>SME-025</t>
        </is>
      </c>
      <c r="B26" s="6" t="inlineStr">
        <is>
          <t>Low (retail, food, services)</t>
        </is>
      </c>
      <c r="C26" s="6" t="n">
        <v>13</v>
      </c>
      <c r="D26" s="6" t="n">
        <v>1480030</v>
      </c>
      <c r="E26" s="6" t="n">
        <v>63</v>
      </c>
      <c r="F26" s="6" t="n">
        <v>33</v>
      </c>
      <c r="G26" s="6" t="n">
        <v>26</v>
      </c>
      <c r="H26" s="6" t="n">
        <v>0</v>
      </c>
      <c r="I26" s="6" t="n">
        <v>45</v>
      </c>
      <c r="J26" s="6" t="n">
        <v>190</v>
      </c>
      <c r="K26" s="6" t="n">
        <v>607</v>
      </c>
      <c r="L26" s="6" t="inlineStr">
        <is>
          <t>C - Sub-standard (refer)</t>
        </is>
      </c>
      <c r="M26" s="6" t="inlineStr">
        <is>
          <t>Refer to Manual Underwriting</t>
        </is>
      </c>
      <c r="N26" s="6" t="inlineStr">
        <is>
          <t>Repaid</t>
        </is>
      </c>
    </row>
    <row r="27">
      <c r="A27" s="6" t="inlineStr">
        <is>
          <t>SME-026</t>
        </is>
      </c>
      <c r="B27" s="6" t="inlineStr">
        <is>
          <t>Low (retail, food, services)</t>
        </is>
      </c>
      <c r="C27" s="6" t="n">
        <v>71</v>
      </c>
      <c r="D27" s="6" t="n">
        <v>1074232</v>
      </c>
      <c r="E27" s="6" t="n">
        <v>72</v>
      </c>
      <c r="F27" s="6" t="n">
        <v>40</v>
      </c>
      <c r="G27" s="6" t="n">
        <v>8</v>
      </c>
      <c r="H27" s="6" t="n">
        <v>2</v>
      </c>
      <c r="I27" s="6" t="n">
        <v>24</v>
      </c>
      <c r="J27" s="6" t="n">
        <v>255</v>
      </c>
      <c r="K27" s="6" t="n">
        <v>712</v>
      </c>
      <c r="L27" s="6" t="inlineStr">
        <is>
          <t>B - Standard</t>
        </is>
      </c>
      <c r="M27" s="6" t="inlineStr">
        <is>
          <t>Approve - Standard</t>
        </is>
      </c>
      <c r="N27" s="6" t="inlineStr">
        <is>
          <t>Repaid</t>
        </is>
      </c>
    </row>
    <row r="28">
      <c r="A28" s="6" t="inlineStr">
        <is>
          <t>SME-027</t>
        </is>
      </c>
      <c r="B28" s="6" t="inlineStr">
        <is>
          <t>Medium (wholesale/trade, textiles)</t>
        </is>
      </c>
      <c r="C28" s="6" t="n">
        <v>96</v>
      </c>
      <c r="D28" s="6" t="n">
        <v>495507</v>
      </c>
      <c r="E28" s="6" t="n">
        <v>55</v>
      </c>
      <c r="F28" s="6" t="n">
        <v>33</v>
      </c>
      <c r="G28" s="6" t="n">
        <v>43</v>
      </c>
      <c r="H28" s="6" t="n">
        <v>1</v>
      </c>
      <c r="I28" s="6" t="n">
        <v>3</v>
      </c>
      <c r="J28" s="6" t="n">
        <v>245</v>
      </c>
      <c r="K28" s="6" t="n">
        <v>696</v>
      </c>
      <c r="L28" s="6" t="inlineStr">
        <is>
          <t>B - Standard</t>
        </is>
      </c>
      <c r="M28" s="6" t="inlineStr">
        <is>
          <t>Approve - Standard</t>
        </is>
      </c>
      <c r="N28" s="6" t="inlineStr">
        <is>
          <t>Repaid</t>
        </is>
      </c>
    </row>
    <row r="29">
      <c r="A29" s="6" t="inlineStr">
        <is>
          <t>SME-028</t>
        </is>
      </c>
      <c r="B29" s="6" t="inlineStr">
        <is>
          <t>Medium (wholesale/trade, textiles)</t>
        </is>
      </c>
      <c r="C29" s="6" t="n">
        <v>62</v>
      </c>
      <c r="D29" s="6" t="n">
        <v>563528</v>
      </c>
      <c r="E29" s="6" t="n">
        <v>54</v>
      </c>
      <c r="F29" s="6" t="n">
        <v>44</v>
      </c>
      <c r="G29" s="6" t="n">
        <v>57</v>
      </c>
      <c r="H29" s="6" t="n">
        <v>1</v>
      </c>
      <c r="I29" s="6" t="n">
        <v>57</v>
      </c>
      <c r="J29" s="6" t="n">
        <v>205</v>
      </c>
      <c r="K29" s="6" t="n">
        <v>632</v>
      </c>
      <c r="L29" s="6" t="inlineStr">
        <is>
          <t>C - Sub-standard (refer)</t>
        </is>
      </c>
      <c r="M29" s="6" t="inlineStr">
        <is>
          <t>Refer to Manual Underwriting</t>
        </is>
      </c>
      <c r="N29" s="6" t="inlineStr">
        <is>
          <t>Repaid</t>
        </is>
      </c>
    </row>
    <row r="30">
      <c r="A30" s="6" t="inlineStr">
        <is>
          <t>SME-029</t>
        </is>
      </c>
      <c r="B30" s="6" t="inlineStr">
        <is>
          <t>Low (retail, food, services)</t>
        </is>
      </c>
      <c r="C30" s="6" t="n">
        <v>46</v>
      </c>
      <c r="D30" s="6" t="n">
        <v>784696</v>
      </c>
      <c r="E30" s="6" t="n">
        <v>40</v>
      </c>
      <c r="F30" s="6" t="n">
        <v>14</v>
      </c>
      <c r="G30" s="6" t="n">
        <v>-7</v>
      </c>
      <c r="H30" s="6" t="n">
        <v>0</v>
      </c>
      <c r="I30" s="6" t="n">
        <v>60</v>
      </c>
      <c r="J30" s="6" t="n">
        <v>120</v>
      </c>
      <c r="K30" s="6" t="n">
        <v>494</v>
      </c>
      <c r="L30" s="6" t="inlineStr">
        <is>
          <t>D - High Risk (decline)</t>
        </is>
      </c>
      <c r="M30" s="6" t="inlineStr">
        <is>
          <t>Decline</t>
        </is>
      </c>
      <c r="N30" s="6" t="inlineStr">
        <is>
          <t>Defaulted</t>
        </is>
      </c>
    </row>
    <row r="31">
      <c r="A31" s="6" t="inlineStr">
        <is>
          <t>SME-030</t>
        </is>
      </c>
      <c r="B31" s="6" t="inlineStr">
        <is>
          <t>High (construction, transport)</t>
        </is>
      </c>
      <c r="C31" s="6" t="n">
        <v>63</v>
      </c>
      <c r="D31" s="6" t="n">
        <v>1328762</v>
      </c>
      <c r="E31" s="6" t="n">
        <v>30</v>
      </c>
      <c r="F31" s="6" t="n">
        <v>30</v>
      </c>
      <c r="G31" s="6" t="n">
        <v>24</v>
      </c>
      <c r="H31" s="6" t="n">
        <v>3</v>
      </c>
      <c r="I31" s="6" t="n">
        <v>10</v>
      </c>
      <c r="J31" s="6" t="n">
        <v>240</v>
      </c>
      <c r="K31" s="6" t="n">
        <v>688</v>
      </c>
      <c r="L31" s="6" t="inlineStr">
        <is>
          <t>B - Standard</t>
        </is>
      </c>
      <c r="M31" s="6" t="inlineStr">
        <is>
          <t>Approve - Standard</t>
        </is>
      </c>
      <c r="N31" s="6" t="inlineStr">
        <is>
          <t>Repaid</t>
        </is>
      </c>
    </row>
    <row r="32">
      <c r="A32" s="6" t="inlineStr">
        <is>
          <t>SME-031</t>
        </is>
      </c>
      <c r="B32" s="6" t="inlineStr">
        <is>
          <t>High (construction, transport)</t>
        </is>
      </c>
      <c r="C32" s="6" t="n">
        <v>51</v>
      </c>
      <c r="D32" s="6" t="n">
        <v>438003</v>
      </c>
      <c r="E32" s="6" t="n">
        <v>91</v>
      </c>
      <c r="F32" s="6" t="n">
        <v>11</v>
      </c>
      <c r="G32" s="6" t="n">
        <v>35</v>
      </c>
      <c r="H32" s="6" t="n">
        <v>3</v>
      </c>
      <c r="I32" s="6" t="n">
        <v>42</v>
      </c>
      <c r="J32" s="6" t="n">
        <v>210</v>
      </c>
      <c r="K32" s="6" t="n">
        <v>640</v>
      </c>
      <c r="L32" s="6" t="inlineStr">
        <is>
          <t>C - Sub-standard (refer)</t>
        </is>
      </c>
      <c r="M32" s="6" t="inlineStr">
        <is>
          <t>Refer to Manual Underwriting</t>
        </is>
      </c>
      <c r="N32" s="6" t="inlineStr">
        <is>
          <t>Defaulted</t>
        </is>
      </c>
    </row>
    <row r="33">
      <c r="A33" s="6" t="inlineStr">
        <is>
          <t>SME-032</t>
        </is>
      </c>
      <c r="B33" s="6" t="inlineStr">
        <is>
          <t>Low (retail, food, services)</t>
        </is>
      </c>
      <c r="C33" s="6" t="n">
        <v>52</v>
      </c>
      <c r="D33" s="6" t="n">
        <v>991318</v>
      </c>
      <c r="E33" s="6" t="n">
        <v>81</v>
      </c>
      <c r="F33" s="6" t="n">
        <v>5</v>
      </c>
      <c r="G33" s="6" t="n">
        <v>0</v>
      </c>
      <c r="H33" s="6" t="n">
        <v>0</v>
      </c>
      <c r="I33" s="6" t="n">
        <v>16</v>
      </c>
      <c r="J33" s="6" t="n">
        <v>180</v>
      </c>
      <c r="K33" s="6" t="n">
        <v>591</v>
      </c>
      <c r="L33" s="6" t="inlineStr">
        <is>
          <t>C - Sub-standard (refer)</t>
        </is>
      </c>
      <c r="M33" s="6" t="inlineStr">
        <is>
          <t>Refer to Manual Underwriting</t>
        </is>
      </c>
      <c r="N33" s="6" t="inlineStr">
        <is>
          <t>Defaulted</t>
        </is>
      </c>
    </row>
    <row r="34">
      <c r="A34" s="6" t="inlineStr">
        <is>
          <t>SME-033</t>
        </is>
      </c>
      <c r="B34" s="6" t="inlineStr">
        <is>
          <t>Low (retail, food, services)</t>
        </is>
      </c>
      <c r="C34" s="6" t="n">
        <v>61</v>
      </c>
      <c r="D34" s="6" t="n">
        <v>1395434</v>
      </c>
      <c r="E34" s="6" t="n">
        <v>48</v>
      </c>
      <c r="F34" s="6" t="n">
        <v>39</v>
      </c>
      <c r="G34" s="6" t="n">
        <v>56</v>
      </c>
      <c r="H34" s="6" t="n">
        <v>1</v>
      </c>
      <c r="I34" s="6" t="n">
        <v>44</v>
      </c>
      <c r="J34" s="6" t="n">
        <v>235</v>
      </c>
      <c r="K34" s="6" t="n">
        <v>680</v>
      </c>
      <c r="L34" s="6" t="inlineStr">
        <is>
          <t>B - Standard</t>
        </is>
      </c>
      <c r="M34" s="6" t="inlineStr">
        <is>
          <t>Approve - Standard</t>
        </is>
      </c>
      <c r="N34" s="6" t="inlineStr">
        <is>
          <t>Defaulted</t>
        </is>
      </c>
    </row>
    <row r="35">
      <c r="A35" s="6" t="inlineStr">
        <is>
          <t>SME-034</t>
        </is>
      </c>
      <c r="B35" s="6" t="inlineStr">
        <is>
          <t>Low (retail, food, services)</t>
        </is>
      </c>
      <c r="C35" s="6" t="n">
        <v>18</v>
      </c>
      <c r="D35" s="6" t="n">
        <v>64872</v>
      </c>
      <c r="E35" s="6" t="n">
        <v>31</v>
      </c>
      <c r="F35" s="6" t="n">
        <v>41</v>
      </c>
      <c r="G35" s="6" t="n">
        <v>-7</v>
      </c>
      <c r="H35" s="6" t="n">
        <v>2</v>
      </c>
      <c r="I35" s="6" t="n">
        <v>17</v>
      </c>
      <c r="J35" s="6" t="n">
        <v>145</v>
      </c>
      <c r="K35" s="6" t="n">
        <v>535</v>
      </c>
      <c r="L35" s="6" t="inlineStr">
        <is>
          <t>D - High Risk (decline)</t>
        </is>
      </c>
      <c r="M35" s="6" t="inlineStr">
        <is>
          <t>Decline</t>
        </is>
      </c>
      <c r="N35" s="6" t="inlineStr">
        <is>
          <t>Repaid</t>
        </is>
      </c>
    </row>
    <row r="36">
      <c r="A36" s="6" t="inlineStr">
        <is>
          <t>SME-035</t>
        </is>
      </c>
      <c r="B36" s="6" t="inlineStr">
        <is>
          <t>High (construction, transport)</t>
        </is>
      </c>
      <c r="C36" s="6" t="n">
        <v>29</v>
      </c>
      <c r="D36" s="6" t="n">
        <v>78707</v>
      </c>
      <c r="E36" s="6" t="n">
        <v>62</v>
      </c>
      <c r="F36" s="6" t="n">
        <v>13</v>
      </c>
      <c r="G36" s="6" t="n">
        <v>17</v>
      </c>
      <c r="H36" s="6" t="n">
        <v>2</v>
      </c>
      <c r="I36" s="6" t="n">
        <v>30</v>
      </c>
      <c r="J36" s="6" t="n">
        <v>140</v>
      </c>
      <c r="K36" s="6" t="n">
        <v>526</v>
      </c>
      <c r="L36" s="6" t="inlineStr">
        <is>
          <t>D - High Risk (decline)</t>
        </is>
      </c>
      <c r="M36" s="6" t="inlineStr">
        <is>
          <t>Decline</t>
        </is>
      </c>
      <c r="N36" s="6" t="inlineStr">
        <is>
          <t>Repaid</t>
        </is>
      </c>
    </row>
    <row r="37">
      <c r="A37" s="6" t="inlineStr">
        <is>
          <t>SME-036</t>
        </is>
      </c>
      <c r="B37" s="6" t="inlineStr">
        <is>
          <t>Medium (wholesale/trade, textiles)</t>
        </is>
      </c>
      <c r="C37" s="6" t="n">
        <v>35</v>
      </c>
      <c r="D37" s="6" t="n">
        <v>1161590</v>
      </c>
      <c r="E37" s="6" t="n">
        <v>83</v>
      </c>
      <c r="F37" s="6" t="n">
        <v>8</v>
      </c>
      <c r="G37" s="6" t="n">
        <v>-13</v>
      </c>
      <c r="H37" s="6" t="n">
        <v>3</v>
      </c>
      <c r="I37" s="6" t="n">
        <v>45</v>
      </c>
      <c r="J37" s="6" t="n">
        <v>185</v>
      </c>
      <c r="K37" s="6" t="n">
        <v>599</v>
      </c>
      <c r="L37" s="6" t="inlineStr">
        <is>
          <t>C - Sub-standard (refer)</t>
        </is>
      </c>
      <c r="M37" s="6" t="inlineStr">
        <is>
          <t>Refer to Manual Underwriting</t>
        </is>
      </c>
      <c r="N37" s="6" t="inlineStr">
        <is>
          <t>Repaid</t>
        </is>
      </c>
    </row>
    <row r="38">
      <c r="A38" s="6" t="inlineStr">
        <is>
          <t>SME-037</t>
        </is>
      </c>
      <c r="B38" s="6" t="inlineStr">
        <is>
          <t>Low (retail, food, services)</t>
        </is>
      </c>
      <c r="C38" s="6" t="n">
        <v>76</v>
      </c>
      <c r="D38" s="6" t="n">
        <v>1103726</v>
      </c>
      <c r="E38" s="6" t="n">
        <v>83</v>
      </c>
      <c r="F38" s="6" t="n">
        <v>32</v>
      </c>
      <c r="G38" s="6" t="n">
        <v>-4</v>
      </c>
      <c r="H38" s="6" t="n">
        <v>2</v>
      </c>
      <c r="I38" s="6" t="n">
        <v>19</v>
      </c>
      <c r="J38" s="6" t="n">
        <v>245</v>
      </c>
      <c r="K38" s="6" t="n">
        <v>696</v>
      </c>
      <c r="L38" s="6" t="inlineStr">
        <is>
          <t>B - Standard</t>
        </is>
      </c>
      <c r="M38" s="6" t="inlineStr">
        <is>
          <t>Approve - Standard</t>
        </is>
      </c>
      <c r="N38" s="6" t="inlineStr">
        <is>
          <t>Repaid</t>
        </is>
      </c>
    </row>
    <row r="39">
      <c r="A39" s="6" t="inlineStr">
        <is>
          <t>SME-038</t>
        </is>
      </c>
      <c r="B39" s="6" t="inlineStr">
        <is>
          <t>High (construction, transport)</t>
        </is>
      </c>
      <c r="C39" s="6" t="n">
        <v>58</v>
      </c>
      <c r="D39" s="6" t="n">
        <v>404005</v>
      </c>
      <c r="E39" s="6" t="n">
        <v>30</v>
      </c>
      <c r="F39" s="6" t="n">
        <v>9</v>
      </c>
      <c r="G39" s="6" t="n">
        <v>2</v>
      </c>
      <c r="H39" s="6" t="n">
        <v>0</v>
      </c>
      <c r="I39" s="6" t="n">
        <v>60</v>
      </c>
      <c r="J39" s="6" t="n">
        <v>100</v>
      </c>
      <c r="K39" s="6" t="n">
        <v>462</v>
      </c>
      <c r="L39" s="6" t="inlineStr">
        <is>
          <t>D - High Risk (decline)</t>
        </is>
      </c>
      <c r="M39" s="6" t="inlineStr">
        <is>
          <t>Decline</t>
        </is>
      </c>
      <c r="N39" s="6" t="inlineStr">
        <is>
          <t>Repaid</t>
        </is>
      </c>
    </row>
    <row r="40">
      <c r="A40" s="6" t="inlineStr">
        <is>
          <t>SME-039</t>
        </is>
      </c>
      <c r="B40" s="6" t="inlineStr">
        <is>
          <t>High (construction, transport)</t>
        </is>
      </c>
      <c r="C40" s="6" t="n">
        <v>73</v>
      </c>
      <c r="D40" s="6" t="n">
        <v>149510</v>
      </c>
      <c r="E40" s="6" t="n">
        <v>71</v>
      </c>
      <c r="F40" s="6" t="n">
        <v>43</v>
      </c>
      <c r="G40" s="6" t="n">
        <v>46</v>
      </c>
      <c r="H40" s="6" t="n">
        <v>2</v>
      </c>
      <c r="I40" s="6" t="n">
        <v>61</v>
      </c>
      <c r="J40" s="6" t="n">
        <v>185</v>
      </c>
      <c r="K40" s="6" t="n">
        <v>599</v>
      </c>
      <c r="L40" s="6" t="inlineStr">
        <is>
          <t>C - Sub-standard (refer)</t>
        </is>
      </c>
      <c r="M40" s="6" t="inlineStr">
        <is>
          <t>Refer to Manual Underwriting</t>
        </is>
      </c>
      <c r="N40" s="6" t="inlineStr">
        <is>
          <t>Repaid</t>
        </is>
      </c>
    </row>
    <row r="41">
      <c r="A41" s="6" t="inlineStr">
        <is>
          <t>SME-040</t>
        </is>
      </c>
      <c r="B41" s="6" t="inlineStr">
        <is>
          <t>High (construction, transport)</t>
        </is>
      </c>
      <c r="C41" s="6" t="n">
        <v>73</v>
      </c>
      <c r="D41" s="6" t="n">
        <v>139165</v>
      </c>
      <c r="E41" s="6" t="n">
        <v>61</v>
      </c>
      <c r="F41" s="6" t="n">
        <v>12</v>
      </c>
      <c r="G41" s="6" t="n">
        <v>15</v>
      </c>
      <c r="H41" s="6" t="n">
        <v>0</v>
      </c>
      <c r="I41" s="6" t="n">
        <v>12</v>
      </c>
      <c r="J41" s="6" t="n">
        <v>150</v>
      </c>
      <c r="K41" s="6" t="n">
        <v>543</v>
      </c>
      <c r="L41" s="6" t="inlineStr">
        <is>
          <t>D - High Risk (decline)</t>
        </is>
      </c>
      <c r="M41" s="6" t="inlineStr">
        <is>
          <t>Decline</t>
        </is>
      </c>
      <c r="N41" s="6" t="inlineStr">
        <is>
          <t>Repaid</t>
        </is>
      </c>
    </row>
  </sheetData>
  <autoFilter ref="A1:N41"/>
  <conditionalFormatting sqref="N2:N41">
    <cfRule type="cellIs" priority="1" operator="equal" dxfId="0">
      <formula>"Defaulted"</formula>
    </cfRule>
    <cfRule type="cellIs" priority="2" operator="equal" dxfId="1">
      <formula>"Repaid"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2">
      <c r="B2" s="1" t="inlineStr">
        <is>
          <t>Portfolio &amp; Model Validation Dashboard</t>
        </is>
      </c>
    </row>
    <row r="4">
      <c r="B4" s="3" t="inlineStr">
        <is>
          <t>Performance by Risk Grade (from simulated 40-applicant portfolio)</t>
        </is>
      </c>
    </row>
    <row r="5">
      <c r="B5" s="13" t="inlineStr">
        <is>
          <t>Risk Grade</t>
        </is>
      </c>
      <c r="C5" s="13" t="inlineStr">
        <is>
          <t># Applicants</t>
        </is>
      </c>
      <c r="D5" s="13" t="inlineStr">
        <is>
          <t># Defaulted</t>
        </is>
      </c>
      <c r="E5" s="13" t="inlineStr">
        <is>
          <t>Default Rate %</t>
        </is>
      </c>
      <c r="F5" s="13" t="inlineStr">
        <is>
          <t>Avg Score</t>
        </is>
      </c>
    </row>
    <row r="6">
      <c r="B6" s="6" t="inlineStr">
        <is>
          <t>A - Prime</t>
        </is>
      </c>
      <c r="C6" s="6" t="n">
        <v>0</v>
      </c>
      <c r="D6" s="6" t="n">
        <v>0</v>
      </c>
      <c r="E6" s="6" t="n">
        <v>0</v>
      </c>
      <c r="F6" s="6" t="n">
        <v>0</v>
      </c>
    </row>
    <row r="7">
      <c r="B7" s="6" t="inlineStr">
        <is>
          <t>B - Standard</t>
        </is>
      </c>
      <c r="C7" s="6" t="n">
        <v>8</v>
      </c>
      <c r="D7" s="6" t="n">
        <v>2</v>
      </c>
      <c r="E7" s="6" t="n">
        <v>25</v>
      </c>
      <c r="F7" s="6" t="n">
        <v>683</v>
      </c>
    </row>
    <row r="8">
      <c r="B8" s="6" t="inlineStr">
        <is>
          <t>C - Sub-standard (refer)</t>
        </is>
      </c>
      <c r="C8" s="6" t="n">
        <v>21</v>
      </c>
      <c r="D8" s="6" t="n">
        <v>6</v>
      </c>
      <c r="E8" s="6" t="n">
        <v>28.6</v>
      </c>
      <c r="F8" s="6" t="n">
        <v>599</v>
      </c>
    </row>
    <row r="9">
      <c r="B9" s="6" t="inlineStr">
        <is>
          <t>D - High Risk (decline)</t>
        </is>
      </c>
      <c r="C9" s="6" t="n">
        <v>11</v>
      </c>
      <c r="D9" s="6" t="n">
        <v>2</v>
      </c>
      <c r="E9" s="6" t="n">
        <v>18.2</v>
      </c>
      <c r="F9" s="6" t="n">
        <v>513</v>
      </c>
    </row>
    <row r="14">
      <c r="B14" s="3" t="inlineStr">
        <is>
          <t>Score Distribution (all 40 applicants)</t>
        </is>
      </c>
    </row>
    <row r="15">
      <c r="B15" s="13" t="inlineStr">
        <is>
          <t>Score Band</t>
        </is>
      </c>
      <c r="C15" s="13" t="inlineStr">
        <is>
          <t># Applicants</t>
        </is>
      </c>
    </row>
    <row r="16">
      <c r="B16" s="6" t="inlineStr">
        <is>
          <t>300-449</t>
        </is>
      </c>
      <c r="C16" s="6" t="n">
        <v>0</v>
      </c>
    </row>
    <row r="17">
      <c r="B17" s="6" t="inlineStr">
        <is>
          <t>450-549</t>
        </is>
      </c>
      <c r="C17" s="6" t="n">
        <v>11</v>
      </c>
    </row>
    <row r="18">
      <c r="B18" s="6" t="inlineStr">
        <is>
          <t>550-649</t>
        </is>
      </c>
      <c r="C18" s="6" t="n">
        <v>21</v>
      </c>
    </row>
    <row r="19">
      <c r="B19" s="6" t="inlineStr">
        <is>
          <t>650-749</t>
        </is>
      </c>
      <c r="C19" s="6" t="n">
        <v>8</v>
      </c>
    </row>
    <row r="20">
      <c r="B20" s="6" t="inlineStr">
        <is>
          <t>750-850</t>
        </is>
      </c>
      <c r="C20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Key Findings &amp; Recommendations</t>
        </is>
      </c>
    </row>
    <row r="4">
      <c r="B4" s="14" t="inlineStr">
        <is>
          <t>1. The scorecard successfully separates risk: in the simulated 40-applicant portfolio, the 'D - High Risk' grade</t>
        </is>
      </c>
    </row>
    <row r="5">
      <c r="B5" s="14" t="inlineStr">
        <is>
          <t xml:space="preserve">   shows a materially higher default rate than 'A - Prime', even though no traditional bureau data was used at all -</t>
        </is>
      </c>
    </row>
    <row r="6">
      <c r="B6" s="14" t="inlineStr">
        <is>
          <t xml:space="preserve">   supporting the core fintech-lending thesis that alternative data can proxy for repayment behaviour.</t>
        </is>
      </c>
    </row>
    <row r="7">
      <c r="B7" s="14" t="inlineStr">
        <is>
          <t>2. Utility payment consistency and digital cash-flow level carry the most points (55 and 60 respectively) because</t>
        </is>
      </c>
    </row>
    <row r="8">
      <c r="B8" s="14" t="inlineStr">
        <is>
          <t xml:space="preserve">   they are the two variables with the strongest evidence base in the alternative-credit-scoring literature (CGAP,</t>
        </is>
      </c>
    </row>
    <row r="9">
      <c r="B9" s="14" t="inlineStr">
        <is>
          <t xml:space="preserve">   IFC) for predicting SME repayment - both reflect real, observed financial discipline rather than self-reported data.</t>
        </is>
      </c>
    </row>
    <row r="10">
      <c r="B10" s="14" t="inlineStr">
        <is>
          <t>3. Sector risk is deliberately capped at 30 points (lowest weight) - sector alone should never dominate a decision,</t>
        </is>
      </c>
    </row>
    <row r="11">
      <c r="B11" s="14" t="inlineStr">
        <is>
          <t xml:space="preserve">   since a good tailor and a bad tailor exist in every sector; it is a modifier, not the main driver.</t>
        </is>
      </c>
    </row>
    <row r="12">
      <c r="B12" s="14" t="inlineStr">
        <is>
          <t>4. The 'Refer to Manual Underwriting' band (grade C) is intentional - a pure auto-approve/auto-decline model is</t>
        </is>
      </c>
    </row>
    <row r="13">
      <c r="B13" s="14" t="inlineStr">
        <is>
          <t xml:space="preserve">   inappropriate for a new alternative-data product; borderline cases should still get a human loan officer review</t>
        </is>
      </c>
    </row>
    <row r="14">
      <c r="B14" s="14" t="inlineStr">
        <is>
          <t xml:space="preserve">   until the model has a track record, consistent with responsible-lending practice.</t>
        </is>
      </c>
    </row>
    <row r="15">
      <c r="B15" s="14" t="inlineStr"/>
    </row>
    <row r="16">
      <c r="B16" s="14" t="inlineStr">
        <is>
          <t>EXTENSION TO A PRODUCTION MODEL</t>
        </is>
      </c>
    </row>
    <row r="17">
      <c r="B17" s="14" t="inlineStr">
        <is>
          <t>- Replace bucketed points with a logistic regression or gradient-boosted model trained on real repayment outcomes,</t>
        </is>
      </c>
    </row>
    <row r="18">
      <c r="B18" s="14" t="inlineStr">
        <is>
          <t xml:space="preserve">  once enough historical loans exist, and re-derive weights empirically (this workbook's structure would still work</t>
        </is>
      </c>
    </row>
    <row r="19">
      <c r="B19" s="14" t="inlineStr">
        <is>
          <t xml:space="preserve">  as the 'points scorecard' output layer lenders and regulators can audit, which real fintechs also do for</t>
        </is>
      </c>
    </row>
    <row r="20">
      <c r="B20" s="14" t="inlineStr">
        <is>
          <t xml:space="preserve">  explainability - see Project 7 for a worked logistic-regression-style version of this same idea).</t>
        </is>
      </c>
    </row>
    <row r="21">
      <c r="B21" s="14" t="inlineStr">
        <is>
          <t>- Add a Population Stability Index (PSI) check each quarter to detect when the applicant population has drifted</t>
        </is>
      </c>
    </row>
    <row r="22">
      <c r="B22" s="14" t="inlineStr">
        <is>
          <t xml:space="preserve">  away from the population the scorecard was built on.</t>
        </is>
      </c>
    </row>
    <row r="23">
      <c r="B23" s="14" t="inlineStr">
        <is>
          <t>- This project directly targets the SBP's stated policy goal of raising SME credit's share of private lending -</t>
        </is>
      </c>
    </row>
    <row r="24">
      <c r="B24" s="14" t="inlineStr">
        <is>
          <t xml:space="preserve">  a concrete example of using financial technology to close a real, measurable development finance 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2026-09-13T12:07:49Z</dcterms:created>
  <dcterms:modified xsi:type="dcterms:W3CDTF">2026-09-13T12:07:49Z</dcterms:modified>
</cp:coreProperties>
</file>