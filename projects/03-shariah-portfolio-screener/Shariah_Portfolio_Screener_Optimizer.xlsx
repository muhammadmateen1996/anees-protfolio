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hariah Screening" sheetId="2" state="visible" r:id="rId2"/>
    <sheet name="Compliant Universe" sheetId="3" state="visible" r:id="rId3"/>
    <sheet name="Portfolio Optimizer" sheetId="4" state="visible" r:id="rId4"/>
    <sheet name="Dashboard" sheetId="5" state="visible" r:id="rId5"/>
    <sheet name="Insights" sheetId="6" state="visible" r:id="rId6"/>
  </sheets>
  <definedNames>
    <definedName name="_xlnm._FilterDatabase" localSheetId="1" hidden="1">'Shariah Screening'!$A$1:$M$16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9" fontId="0" fillId="0" borderId="0" pivotButton="0" quotePrefix="0" xfId="0"/>
    <xf numFmtId="9" fontId="0" fillId="3" borderId="1" pivotButton="0" quotePrefix="0" xfId="0"/>
    <xf numFmtId="165" fontId="0" fillId="0" borderId="1" pivotButton="0" quotePrefix="0" xfId="0"/>
    <xf numFmtId="1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1" pivotButton="0" quotePrefix="0" xfId="0"/>
    <xf numFmtId="9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Efficient Frontier - Simulated Portfolios</a:t>
            </a:r>
          </a:p>
        </rich>
      </tx>
    </title>
    <plotArea>
      <scatterChart>
        <ser>
          <idx val="0"/>
          <order val="0"/>
          <tx>
            <v>Simulated Portfolios</v>
          </tx>
          <spPr>
            <a:ln>
              <a:noFill/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'Dashboard'!$B$6:$B$2005</f>
            </numRef>
          </xVal>
          <yVal>
            <numRef>
              <f>'Dashboard'!$C$6:$C$2005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Risk (Annual Std Dev)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Expected Annual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Shariah-Compliant Portfolio Screener &amp; Optimizer</t>
        </is>
      </c>
    </row>
    <row r="3">
      <c r="B3" s="2" t="inlineStr">
        <is>
          <t>Screening PSX-listed stocks for Islamic-finance compliance, then building an optimised halal portfolio</t>
        </is>
      </c>
    </row>
    <row r="5">
      <c r="B5" s="3" t="inlineStr">
        <is>
          <t>PURPOSE</t>
        </is>
      </c>
    </row>
    <row r="6">
      <c r="B6" s="4" t="inlineStr">
        <is>
          <t>Pakistan is a 96%+ Muslim-majority country where a large share of retail savers avoid conventional stock</t>
        </is>
      </c>
    </row>
    <row r="7">
      <c r="B7" s="4" t="inlineStr">
        <is>
          <t>investing altogether because they are unsure which listed companies are actually Shariah-compliant, and how to</t>
        </is>
      </c>
    </row>
    <row r="8">
      <c r="B8" s="4" t="inlineStr">
        <is>
          <t>build a properly diversified portfolio once they have a compliant list. The Pakistan Stock Exchange addresses</t>
        </is>
      </c>
    </row>
    <row r="9">
      <c r="B9" s="4" t="inlineStr">
        <is>
          <t>part of this with the KMI-30 Shariah index (screened jointly with Al Meezan Investment Management under AAOIFI-</t>
        </is>
      </c>
    </row>
    <row r="10">
      <c r="B10" s="4" t="inlineStr">
        <is>
          <t>style rules), but there is no simple, transparent, self-serve tool that shows a retail investor *why* a stock</t>
        </is>
      </c>
    </row>
    <row r="11">
      <c r="B11" s="4" t="inlineStr">
        <is>
          <t>passes or fails, or that goes the extra step of portfolio construction once the compliant universe is known.</t>
        </is>
      </c>
    </row>
    <row r="13">
      <c r="B13" s="3" t="inlineStr">
        <is>
          <t>THE SCREENING METHODOLOGY (AAOIFI / KMI-30 style)</t>
        </is>
      </c>
    </row>
    <row r="14">
      <c r="B14" s="4" t="inlineStr">
        <is>
          <t>A stock must pass ALL five tests below to be treated as Shariah-compliant in this workbook:</t>
        </is>
      </c>
    </row>
    <row r="15">
      <c r="B15" s="4" t="inlineStr">
        <is>
          <t xml:space="preserve">  1. Core Business Activity  - not primarily conventional banking/insurance, alcohol, tobacco, gambling, arms,</t>
        </is>
      </c>
    </row>
    <row r="16">
      <c r="B16" s="4" t="inlineStr">
        <is>
          <t xml:space="preserve">                                or adult entertainment (a binary Halal/Not Halal business flag).</t>
        </is>
      </c>
    </row>
    <row r="17">
      <c r="B17" s="4" t="inlineStr">
        <is>
          <t xml:space="preserve">  2. Debt to Total Assets    - interest-bearing debt / total assets must be BELOW 37%.</t>
        </is>
      </c>
    </row>
    <row r="18">
      <c r="B18" s="4" t="inlineStr">
        <is>
          <t xml:space="preserve">  3. Non-Compliant Investments to Assets - investments in interest-bearing instruments / total assets BELOW 33%.</t>
        </is>
      </c>
    </row>
    <row r="19">
      <c r="B19" s="4" t="inlineStr">
        <is>
          <t xml:space="preserve">  4. Non-Compliant Income to Revenue - interest &amp; other impermissible income / total revenue BELOW 5%</t>
        </is>
      </c>
    </row>
    <row r="20">
      <c r="B20" s="4" t="inlineStr">
        <is>
          <t xml:space="preserve">                                (any impermissible income earned must still be purified via charity donation).</t>
        </is>
      </c>
    </row>
    <row r="21">
      <c r="B21" s="4" t="inlineStr">
        <is>
          <t xml:space="preserve">  5. Illiquid Assets to Total Assets - must be ABOVE 25%, so the share represents a real asset-backed business</t>
        </is>
      </c>
    </row>
    <row r="22">
      <c r="B22" s="4" t="inlineStr">
        <is>
          <t xml:space="preserve">                                rather than being economically equivalent to trading cash/debt instruments.</t>
        </is>
      </c>
    </row>
    <row r="24">
      <c r="B24" s="3" t="inlineStr">
        <is>
          <t>HOW TO USE</t>
        </is>
      </c>
    </row>
    <row r="25">
      <c r="B25" s="4" t="inlineStr">
        <is>
          <t>1. 'Shariah Screening' - 15 PSX-listed companies across sectors are tested against the 5 criteria; each cell</t>
        </is>
      </c>
    </row>
    <row r="26">
      <c r="B26" s="4" t="inlineStr">
        <is>
          <t xml:space="preserve">   auto-flags PASS/FAIL and an overall compliance verdict is computed with a formula (not manually typed).</t>
        </is>
      </c>
    </row>
    <row r="27">
      <c r="B27" s="4" t="inlineStr">
        <is>
          <t>2. 'Compliant Universe' - the stocks that passed are carried into a return/risk/correlation assumption table.</t>
        </is>
      </c>
    </row>
    <row r="28">
      <c r="B28" s="4" t="inlineStr">
        <is>
          <t>3. 'Portfolio Optimizer' - change the weights (yellow cells, must sum to 100%) across 6 compliant stocks and see</t>
        </is>
      </c>
    </row>
    <row r="29">
      <c r="B29" s="4" t="inlineStr">
        <is>
          <t xml:space="preserve">   portfolio return, risk (standard deviation) and Sharpe ratio recompute live; compare against a pre-computed</t>
        </is>
      </c>
    </row>
    <row r="30">
      <c r="B30" s="4" t="inlineStr">
        <is>
          <t xml:space="preserve">   Minimum-Variance and Maximum-Sharpe weight set.</t>
        </is>
      </c>
    </row>
    <row r="31">
      <c r="B31" s="4" t="inlineStr">
        <is>
          <t>4. 'Dashboard' - an efficient-frontier chart (1,000 simulated portfolios) and a 3-way scenario comparison.</t>
        </is>
      </c>
    </row>
    <row r="33">
      <c r="B33" s="3" t="inlineStr">
        <is>
          <t>DATA NOTE</t>
        </is>
      </c>
    </row>
    <row r="34">
      <c r="B34" s="4" t="inlineStr">
        <is>
          <t>Financial ratios and return/volatility assumptions used here are ILLUSTRATIVE, sector-representative estimates</t>
        </is>
      </c>
    </row>
    <row r="35">
      <c r="B35" s="4" t="inlineStr">
        <is>
          <t>built for demonstration purposes - they are not the companies' actual audited financial statements or live</t>
        </is>
      </c>
    </row>
    <row r="36">
      <c r="B36" s="4" t="inlineStr">
        <is>
          <t>market data. Company names are used to keep the exercise realistic and PSX-relevant; a production version would</t>
        </is>
      </c>
    </row>
    <row r="37">
      <c r="B37" s="4" t="inlineStr">
        <is>
          <t>pull real ratios from each company's annual report / PSX financial statements and live prices from a market-</t>
        </is>
      </c>
    </row>
    <row r="38">
      <c r="B38" s="4" t="inlineStr">
        <is>
          <t>data API (e.g. PSX DPS or a Bloomberg/Refinitiv feed).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6" customWidth="1" min="13" max="13"/>
  </cols>
  <sheetData>
    <row r="1">
      <c r="A1" s="5" t="inlineStr">
        <is>
          <t>Company (PSX)</t>
        </is>
      </c>
      <c r="B1" s="5" t="inlineStr">
        <is>
          <t>Sector</t>
        </is>
      </c>
      <c r="C1" s="5" t="inlineStr">
        <is>
          <t>Core Business Halal?</t>
        </is>
      </c>
      <c r="D1" s="5" t="inlineStr">
        <is>
          <t>Debt/Assets %</t>
        </is>
      </c>
      <c r="E1" s="5" t="inlineStr">
        <is>
          <t>Non-Compliant Inv./Assets %</t>
        </is>
      </c>
      <c r="F1" s="5" t="inlineStr">
        <is>
          <t>Non-Compliant Income/Revenue %</t>
        </is>
      </c>
      <c r="G1" s="5" t="inlineStr">
        <is>
          <t>Illiquid Assets/Total Assets %</t>
        </is>
      </c>
      <c r="H1" s="5" t="inlineStr">
        <is>
          <t>Test1: Business</t>
        </is>
      </c>
      <c r="I1" s="5" t="inlineStr">
        <is>
          <t>Test2: Debt&lt;37%</t>
        </is>
      </c>
      <c r="J1" s="5" t="inlineStr">
        <is>
          <t>Test3: NC-Inv&lt;33%</t>
        </is>
      </c>
      <c r="K1" s="5" t="inlineStr">
        <is>
          <t>Test4: NC-Inc&lt;5%</t>
        </is>
      </c>
      <c r="L1" s="5" t="inlineStr">
        <is>
          <t>Test5: Illiquid&gt;25%</t>
        </is>
      </c>
      <c r="M1" s="5" t="inlineStr">
        <is>
          <t>OVERALL VERDICT</t>
        </is>
      </c>
    </row>
    <row r="2">
      <c r="A2" s="6" t="inlineStr">
        <is>
          <t>Lucky Cement</t>
        </is>
      </c>
      <c r="B2" s="6" t="inlineStr">
        <is>
          <t>Cement</t>
        </is>
      </c>
      <c r="C2" s="6" t="n">
        <v>1</v>
      </c>
      <c r="D2" s="6" t="n">
        <v>22</v>
      </c>
      <c r="E2" s="6" t="n">
        <v>8</v>
      </c>
      <c r="F2" s="6" t="n">
        <v>1.2</v>
      </c>
      <c r="G2" s="6" t="n">
        <v>55</v>
      </c>
      <c r="H2" s="6">
        <f>IF(C2=1,"PASS","FAIL")</f>
        <v/>
      </c>
      <c r="I2" s="6">
        <f>IF(D2&lt;37,"PASS","FAIL")</f>
        <v/>
      </c>
      <c r="J2" s="6">
        <f>IF(E2&lt;33,"PASS","FAIL")</f>
        <v/>
      </c>
      <c r="K2" s="6">
        <f>IF(F2&lt;5,"PASS","FAIL")</f>
        <v/>
      </c>
      <c r="L2" s="6">
        <f>IF(G2&gt;25,"PASS","FAIL")</f>
        <v/>
      </c>
      <c r="M2" s="6">
        <f>IF(COUNTIF(H2:L2,"FAIL")=0,"COMPLIANT","NON-COMPLIANT")</f>
        <v/>
      </c>
    </row>
    <row r="3">
      <c r="A3" s="6" t="inlineStr">
        <is>
          <t>Engro Corporation</t>
        </is>
      </c>
      <c r="B3" s="6" t="inlineStr">
        <is>
          <t>Fertilizer/Chemicals</t>
        </is>
      </c>
      <c r="C3" s="6" t="n">
        <v>1</v>
      </c>
      <c r="D3" s="6" t="n">
        <v>31</v>
      </c>
      <c r="E3" s="6" t="n">
        <v>15</v>
      </c>
      <c r="F3" s="6" t="n">
        <v>2.5</v>
      </c>
      <c r="G3" s="6" t="n">
        <v>48</v>
      </c>
      <c r="H3" s="6">
        <f>IF(C3=1,"PASS","FAIL")</f>
        <v/>
      </c>
      <c r="I3" s="6">
        <f>IF(D3&lt;37,"PASS","FAIL")</f>
        <v/>
      </c>
      <c r="J3" s="6">
        <f>IF(E3&lt;33,"PASS","FAIL")</f>
        <v/>
      </c>
      <c r="K3" s="6">
        <f>IF(F3&lt;5,"PASS","FAIL")</f>
        <v/>
      </c>
      <c r="L3" s="6">
        <f>IF(G3&gt;25,"PASS","FAIL")</f>
        <v/>
      </c>
      <c r="M3" s="6">
        <f>IF(COUNTIF(H3:L3,"FAIL")=0,"COMPLIANT","NON-COMPLIANT")</f>
        <v/>
      </c>
    </row>
    <row r="4">
      <c r="A4" s="6" t="inlineStr">
        <is>
          <t>Systems Limited</t>
        </is>
      </c>
      <c r="B4" s="6" t="inlineStr">
        <is>
          <t>Technology/IT Services</t>
        </is>
      </c>
      <c r="C4" s="6" t="n">
        <v>1</v>
      </c>
      <c r="D4" s="6" t="n">
        <v>4</v>
      </c>
      <c r="E4" s="6" t="n">
        <v>2</v>
      </c>
      <c r="F4" s="6" t="n">
        <v>0.5</v>
      </c>
      <c r="G4" s="6" t="n">
        <v>32</v>
      </c>
      <c r="H4" s="6">
        <f>IF(C4=1,"PASS","FAIL")</f>
        <v/>
      </c>
      <c r="I4" s="6">
        <f>IF(D4&lt;37,"PASS","FAIL")</f>
        <v/>
      </c>
      <c r="J4" s="6">
        <f>IF(E4&lt;33,"PASS","FAIL")</f>
        <v/>
      </c>
      <c r="K4" s="6">
        <f>IF(F4&lt;5,"PASS","FAIL")</f>
        <v/>
      </c>
      <c r="L4" s="6">
        <f>IF(G4&gt;25,"PASS","FAIL")</f>
        <v/>
      </c>
      <c r="M4" s="6">
        <f>IF(COUNTIF(H4:L4,"FAIL")=0,"COMPLIANT","NON-COMPLIANT")</f>
        <v/>
      </c>
    </row>
    <row r="5">
      <c r="A5" s="6" t="inlineStr">
        <is>
          <t>Fauji Fertilizer Company</t>
        </is>
      </c>
      <c r="B5" s="6" t="inlineStr">
        <is>
          <t>Fertilizer</t>
        </is>
      </c>
      <c r="C5" s="6" t="n">
        <v>1</v>
      </c>
      <c r="D5" s="6" t="n">
        <v>28</v>
      </c>
      <c r="E5" s="6" t="n">
        <v>10</v>
      </c>
      <c r="F5" s="6" t="n">
        <v>1.8</v>
      </c>
      <c r="G5" s="6" t="n">
        <v>45</v>
      </c>
      <c r="H5" s="6">
        <f>IF(C5=1,"PASS","FAIL")</f>
        <v/>
      </c>
      <c r="I5" s="6">
        <f>IF(D5&lt;37,"PASS","FAIL")</f>
        <v/>
      </c>
      <c r="J5" s="6">
        <f>IF(E5&lt;33,"PASS","FAIL")</f>
        <v/>
      </c>
      <c r="K5" s="6">
        <f>IF(F5&lt;5,"PASS","FAIL")</f>
        <v/>
      </c>
      <c r="L5" s="6">
        <f>IF(G5&gt;25,"PASS","FAIL")</f>
        <v/>
      </c>
      <c r="M5" s="6">
        <f>IF(COUNTIF(H5:L5,"FAIL")=0,"COMPLIANT","NON-COMPLIANT")</f>
        <v/>
      </c>
    </row>
    <row r="6">
      <c r="A6" s="6" t="inlineStr">
        <is>
          <t>Nestle Pakistan</t>
        </is>
      </c>
      <c r="B6" s="6" t="inlineStr">
        <is>
          <t>Food &amp; Consumer</t>
        </is>
      </c>
      <c r="C6" s="6" t="n">
        <v>1</v>
      </c>
      <c r="D6" s="6" t="n">
        <v>18</v>
      </c>
      <c r="E6" s="6" t="n">
        <v>5</v>
      </c>
      <c r="F6" s="6" t="n">
        <v>0.8</v>
      </c>
      <c r="G6" s="6" t="n">
        <v>60</v>
      </c>
      <c r="H6" s="6">
        <f>IF(C6=1,"PASS","FAIL")</f>
        <v/>
      </c>
      <c r="I6" s="6">
        <f>IF(D6&lt;37,"PASS","FAIL")</f>
        <v/>
      </c>
      <c r="J6" s="6">
        <f>IF(E6&lt;33,"PASS","FAIL")</f>
        <v/>
      </c>
      <c r="K6" s="6">
        <f>IF(F6&lt;5,"PASS","FAIL")</f>
        <v/>
      </c>
      <c r="L6" s="6">
        <f>IF(G6&gt;25,"PASS","FAIL")</f>
        <v/>
      </c>
      <c r="M6" s="6">
        <f>IF(COUNTIF(H6:L6,"FAIL")=0,"COMPLIANT","NON-COMPLIANT")</f>
        <v/>
      </c>
    </row>
    <row r="7">
      <c r="A7" s="6" t="inlineStr">
        <is>
          <t>Pakistan State Oil</t>
        </is>
      </c>
      <c r="B7" s="6" t="inlineStr">
        <is>
          <t>Oil Marketing</t>
        </is>
      </c>
      <c r="C7" s="6" t="n">
        <v>1</v>
      </c>
      <c r="D7" s="6" t="n">
        <v>35</v>
      </c>
      <c r="E7" s="6" t="n">
        <v>20</v>
      </c>
      <c r="F7" s="6" t="n">
        <v>3.5</v>
      </c>
      <c r="G7" s="6" t="n">
        <v>30</v>
      </c>
      <c r="H7" s="6">
        <f>IF(C7=1,"PASS","FAIL")</f>
        <v/>
      </c>
      <c r="I7" s="6">
        <f>IF(D7&lt;37,"PASS","FAIL")</f>
        <v/>
      </c>
      <c r="J7" s="6">
        <f>IF(E7&lt;33,"PASS","FAIL")</f>
        <v/>
      </c>
      <c r="K7" s="6">
        <f>IF(F7&lt;5,"PASS","FAIL")</f>
        <v/>
      </c>
      <c r="L7" s="6">
        <f>IF(G7&gt;25,"PASS","FAIL")</f>
        <v/>
      </c>
      <c r="M7" s="6">
        <f>IF(COUNTIF(H7:L7,"FAIL")=0,"COMPLIANT","NON-COMPLIANT")</f>
        <v/>
      </c>
    </row>
    <row r="8">
      <c r="A8" s="6" t="inlineStr">
        <is>
          <t>Hub Power Company</t>
        </is>
      </c>
      <c r="B8" s="6" t="inlineStr">
        <is>
          <t>Power Generation</t>
        </is>
      </c>
      <c r="C8" s="6" t="n">
        <v>1</v>
      </c>
      <c r="D8" s="6" t="n">
        <v>42</v>
      </c>
      <c r="E8" s="6" t="n">
        <v>25</v>
      </c>
      <c r="F8" s="6" t="n">
        <v>3</v>
      </c>
      <c r="G8" s="6" t="n">
        <v>68</v>
      </c>
      <c r="H8" s="6">
        <f>IF(C8=1,"PASS","FAIL")</f>
        <v/>
      </c>
      <c r="I8" s="6">
        <f>IF(D8&lt;37,"PASS","FAIL")</f>
        <v/>
      </c>
      <c r="J8" s="6">
        <f>IF(E8&lt;33,"PASS","FAIL")</f>
        <v/>
      </c>
      <c r="K8" s="6">
        <f>IF(F8&lt;5,"PASS","FAIL")</f>
        <v/>
      </c>
      <c r="L8" s="6">
        <f>IF(G8&gt;25,"PASS","FAIL")</f>
        <v/>
      </c>
      <c r="M8" s="6">
        <f>IF(COUNTIF(H8:L8,"FAIL")=0,"COMPLIANT","NON-COMPLIANT")</f>
        <v/>
      </c>
    </row>
    <row r="9">
      <c r="A9" s="6" t="inlineStr">
        <is>
          <t>Meezan Bank</t>
        </is>
      </c>
      <c r="B9" s="6" t="inlineStr">
        <is>
          <t>Islamic Banking</t>
        </is>
      </c>
      <c r="C9" s="6" t="n">
        <v>0</v>
      </c>
      <c r="D9" s="6" t="n">
        <v>85</v>
      </c>
      <c r="E9" s="6" t="n">
        <v>90</v>
      </c>
      <c r="F9" s="6" t="n">
        <v>0.5</v>
      </c>
      <c r="G9" s="6" t="n">
        <v>20</v>
      </c>
      <c r="H9" s="6">
        <f>IF(C9=1,"PASS","FAIL")</f>
        <v/>
      </c>
      <c r="I9" s="6">
        <f>IF(D9&lt;37,"PASS","FAIL")</f>
        <v/>
      </c>
      <c r="J9" s="6">
        <f>IF(E9&lt;33,"PASS","FAIL")</f>
        <v/>
      </c>
      <c r="K9" s="6">
        <f>IF(F9&lt;5,"PASS","FAIL")</f>
        <v/>
      </c>
      <c r="L9" s="6">
        <f>IF(G9&gt;25,"PASS","FAIL")</f>
        <v/>
      </c>
      <c r="M9" s="6">
        <f>IF(COUNTIF(H9:L9,"FAIL")=0,"COMPLIANT","NON-COMPLIANT")</f>
        <v/>
      </c>
    </row>
    <row r="10">
      <c r="A10" s="6" t="inlineStr">
        <is>
          <t>MCB Bank</t>
        </is>
      </c>
      <c r="B10" s="6" t="inlineStr">
        <is>
          <t>Conventional Banking</t>
        </is>
      </c>
      <c r="C10" s="6" t="n">
        <v>0</v>
      </c>
      <c r="D10" s="6" t="n">
        <v>88</v>
      </c>
      <c r="E10" s="6" t="n">
        <v>92</v>
      </c>
      <c r="F10" s="6" t="n">
        <v>45</v>
      </c>
      <c r="G10" s="6" t="n">
        <v>15</v>
      </c>
      <c r="H10" s="6">
        <f>IF(C10=1,"PASS","FAIL")</f>
        <v/>
      </c>
      <c r="I10" s="6">
        <f>IF(D10&lt;37,"PASS","FAIL")</f>
        <v/>
      </c>
      <c r="J10" s="6">
        <f>IF(E10&lt;33,"PASS","FAIL")</f>
        <v/>
      </c>
      <c r="K10" s="6">
        <f>IF(F10&lt;5,"PASS","FAIL")</f>
        <v/>
      </c>
      <c r="L10" s="6">
        <f>IF(G10&gt;25,"PASS","FAIL")</f>
        <v/>
      </c>
      <c r="M10" s="6">
        <f>IF(COUNTIF(H10:L10,"FAIL")=0,"COMPLIANT","NON-COMPLIANT")</f>
        <v/>
      </c>
    </row>
    <row r="11">
      <c r="A11" s="6" t="inlineStr">
        <is>
          <t>Pak Suzuki Motor Company</t>
        </is>
      </c>
      <c r="B11" s="6" t="inlineStr">
        <is>
          <t>Automobile</t>
        </is>
      </c>
      <c r="C11" s="6" t="n">
        <v>1</v>
      </c>
      <c r="D11" s="6" t="n">
        <v>15</v>
      </c>
      <c r="E11" s="6" t="n">
        <v>6</v>
      </c>
      <c r="F11" s="6" t="n">
        <v>1.5</v>
      </c>
      <c r="G11" s="6" t="n">
        <v>40</v>
      </c>
      <c r="H11" s="6">
        <f>IF(C11=1,"PASS","FAIL")</f>
        <v/>
      </c>
      <c r="I11" s="6">
        <f>IF(D11&lt;37,"PASS","FAIL")</f>
        <v/>
      </c>
      <c r="J11" s="6">
        <f>IF(E11&lt;33,"PASS","FAIL")</f>
        <v/>
      </c>
      <c r="K11" s="6">
        <f>IF(F11&lt;5,"PASS","FAIL")</f>
        <v/>
      </c>
      <c r="L11" s="6">
        <f>IF(G11&gt;25,"PASS","FAIL")</f>
        <v/>
      </c>
      <c r="M11" s="6">
        <f>IF(COUNTIF(H11:L11,"FAIL")=0,"COMPLIANT","NON-COMPLIANT")</f>
        <v/>
      </c>
    </row>
    <row r="12">
      <c r="A12" s="6" t="inlineStr">
        <is>
          <t>Millat Tractors</t>
        </is>
      </c>
      <c r="B12" s="6" t="inlineStr">
        <is>
          <t>Automobile/Engineering</t>
        </is>
      </c>
      <c r="C12" s="6" t="n">
        <v>1</v>
      </c>
      <c r="D12" s="6" t="n">
        <v>12</v>
      </c>
      <c r="E12" s="6" t="n">
        <v>4</v>
      </c>
      <c r="F12" s="6" t="n">
        <v>0.9</v>
      </c>
      <c r="G12" s="6" t="n">
        <v>38</v>
      </c>
      <c r="H12" s="6">
        <f>IF(C12=1,"PASS","FAIL")</f>
        <v/>
      </c>
      <c r="I12" s="6">
        <f>IF(D12&lt;37,"PASS","FAIL")</f>
        <v/>
      </c>
      <c r="J12" s="6">
        <f>IF(E12&lt;33,"PASS","FAIL")</f>
        <v/>
      </c>
      <c r="K12" s="6">
        <f>IF(F12&lt;5,"PASS","FAIL")</f>
        <v/>
      </c>
      <c r="L12" s="6">
        <f>IF(G12&gt;25,"PASS","FAIL")</f>
        <v/>
      </c>
      <c r="M12" s="6">
        <f>IF(COUNTIF(H12:L12,"FAIL")=0,"COMPLIANT","NON-COMPLIANT")</f>
        <v/>
      </c>
    </row>
    <row r="13">
      <c r="A13" s="6" t="inlineStr">
        <is>
          <t>Interloop Limited</t>
        </is>
      </c>
      <c r="B13" s="6" t="inlineStr">
        <is>
          <t>Textile</t>
        </is>
      </c>
      <c r="C13" s="6" t="n">
        <v>1</v>
      </c>
      <c r="D13" s="6" t="n">
        <v>33</v>
      </c>
      <c r="E13" s="6" t="n">
        <v>12</v>
      </c>
      <c r="F13" s="6" t="n">
        <v>2</v>
      </c>
      <c r="G13" s="6" t="n">
        <v>58</v>
      </c>
      <c r="H13" s="6">
        <f>IF(C13=1,"PASS","FAIL")</f>
        <v/>
      </c>
      <c r="I13" s="6">
        <f>IF(D13&lt;37,"PASS","FAIL")</f>
        <v/>
      </c>
      <c r="J13" s="6">
        <f>IF(E13&lt;33,"PASS","FAIL")</f>
        <v/>
      </c>
      <c r="K13" s="6">
        <f>IF(F13&lt;5,"PASS","FAIL")</f>
        <v/>
      </c>
      <c r="L13" s="6">
        <f>IF(G13&gt;25,"PASS","FAIL")</f>
        <v/>
      </c>
      <c r="M13" s="6">
        <f>IF(COUNTIF(H13:L13,"FAIL")=0,"COMPLIANT","NON-COMPLIANT")</f>
        <v/>
      </c>
    </row>
    <row r="14">
      <c r="A14" s="6" t="inlineStr">
        <is>
          <t>The Searle Company</t>
        </is>
      </c>
      <c r="B14" s="6" t="inlineStr">
        <is>
          <t>Pharmaceuticals</t>
        </is>
      </c>
      <c r="C14" s="6" t="n">
        <v>1</v>
      </c>
      <c r="D14" s="6" t="n">
        <v>20</v>
      </c>
      <c r="E14" s="6" t="n">
        <v>7</v>
      </c>
      <c r="F14" s="6" t="n">
        <v>1.1</v>
      </c>
      <c r="G14" s="6" t="n">
        <v>35</v>
      </c>
      <c r="H14" s="6">
        <f>IF(C14=1,"PASS","FAIL")</f>
        <v/>
      </c>
      <c r="I14" s="6">
        <f>IF(D14&lt;37,"PASS","FAIL")</f>
        <v/>
      </c>
      <c r="J14" s="6">
        <f>IF(E14&lt;33,"PASS","FAIL")</f>
        <v/>
      </c>
      <c r="K14" s="6">
        <f>IF(F14&lt;5,"PASS","FAIL")</f>
        <v/>
      </c>
      <c r="L14" s="6">
        <f>IF(G14&gt;25,"PASS","FAIL")</f>
        <v/>
      </c>
      <c r="M14" s="6">
        <f>IF(COUNTIF(H14:L14,"FAIL")=0,"COMPLIANT","NON-COMPLIANT")</f>
        <v/>
      </c>
    </row>
    <row r="15">
      <c r="A15" s="6" t="inlineStr">
        <is>
          <t>Pakistan Tobacco Company</t>
        </is>
      </c>
      <c r="B15" s="6" t="inlineStr">
        <is>
          <t>Tobacco</t>
        </is>
      </c>
      <c r="C15" s="6" t="n">
        <v>0</v>
      </c>
      <c r="D15" s="6" t="n">
        <v>25</v>
      </c>
      <c r="E15" s="6" t="n">
        <v>10</v>
      </c>
      <c r="F15" s="6" t="n">
        <v>1</v>
      </c>
      <c r="G15" s="6" t="n">
        <v>30</v>
      </c>
      <c r="H15" s="6">
        <f>IF(C15=1,"PASS","FAIL")</f>
        <v/>
      </c>
      <c r="I15" s="6">
        <f>IF(D15&lt;37,"PASS","FAIL")</f>
        <v/>
      </c>
      <c r="J15" s="6">
        <f>IF(E15&lt;33,"PASS","FAIL")</f>
        <v/>
      </c>
      <c r="K15" s="6">
        <f>IF(F15&lt;5,"PASS","FAIL")</f>
        <v/>
      </c>
      <c r="L15" s="6">
        <f>IF(G15&gt;25,"PASS","FAIL")</f>
        <v/>
      </c>
      <c r="M15" s="6">
        <f>IF(COUNTIF(H15:L15,"FAIL")=0,"COMPLIANT","NON-COMPLIANT")</f>
        <v/>
      </c>
    </row>
    <row r="16">
      <c r="A16" s="6" t="inlineStr">
        <is>
          <t>Bank Alfalah</t>
        </is>
      </c>
      <c r="B16" s="6" t="inlineStr">
        <is>
          <t>Conventional Banking</t>
        </is>
      </c>
      <c r="C16" s="6" t="n">
        <v>0</v>
      </c>
      <c r="D16" s="6" t="n">
        <v>90</v>
      </c>
      <c r="E16" s="6" t="n">
        <v>88</v>
      </c>
      <c r="F16" s="6" t="n">
        <v>50</v>
      </c>
      <c r="G16" s="6" t="n">
        <v>12</v>
      </c>
      <c r="H16" s="6">
        <f>IF(C16=1,"PASS","FAIL")</f>
        <v/>
      </c>
      <c r="I16" s="6">
        <f>IF(D16&lt;37,"PASS","FAIL")</f>
        <v/>
      </c>
      <c r="J16" s="6">
        <f>IF(E16&lt;33,"PASS","FAIL")</f>
        <v/>
      </c>
      <c r="K16" s="6">
        <f>IF(F16&lt;5,"PASS","FAIL")</f>
        <v/>
      </c>
      <c r="L16" s="6">
        <f>IF(G16&gt;25,"PASS","FAIL")</f>
        <v/>
      </c>
      <c r="M16" s="6">
        <f>IF(COUNTIF(H16:L16,"FAIL")=0,"COMPLIANT","NON-COMPLIANT")</f>
        <v/>
      </c>
    </row>
  </sheetData>
  <autoFilter ref="A1:M16"/>
  <conditionalFormatting sqref="M2:M16">
    <cfRule type="cellIs" priority="1" operator="equal" dxfId="0">
      <formula>"COMPLIANT"</formula>
    </cfRule>
    <cfRule type="cellIs" priority="2" operator="equal" dxfId="1">
      <formula>"NON-COMPLIANT"</formula>
    </cfRule>
  </conditionalFormatting>
  <conditionalFormatting sqref="H2:H16">
    <cfRule type="cellIs" priority="3" operator="equal" dxfId="1">
      <formula>"FAIL"</formula>
    </cfRule>
  </conditionalFormatting>
  <conditionalFormatting sqref="I2:I16">
    <cfRule type="cellIs" priority="4" operator="equal" dxfId="1">
      <formula>"FAIL"</formula>
    </cfRule>
  </conditionalFormatting>
  <conditionalFormatting sqref="J2:J16">
    <cfRule type="cellIs" priority="5" operator="equal" dxfId="1">
      <formula>"FAIL"</formula>
    </cfRule>
  </conditionalFormatting>
  <conditionalFormatting sqref="K2:K16">
    <cfRule type="cellIs" priority="6" operator="equal" dxfId="1">
      <formula>"FAIL"</formula>
    </cfRule>
  </conditionalFormatting>
  <conditionalFormatting sqref="L2:L16">
    <cfRule type="cellIs" priority="7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Shariah-Compliant Universe: Return &amp; Risk Assumptions</t>
        </is>
      </c>
    </row>
    <row r="3">
      <c r="B3" s="2" t="inlineStr">
        <is>
          <t>Illustrative annualised figures built from typical PSX sector risk/return profiles (not live data).</t>
        </is>
      </c>
    </row>
    <row r="5">
      <c r="B5" s="5" t="inlineStr">
        <is>
          <t>Company</t>
        </is>
      </c>
      <c r="C5" s="5" t="inlineStr">
        <is>
          <t>Sector</t>
        </is>
      </c>
      <c r="D5" s="5" t="inlineStr">
        <is>
          <t>Expected Annual Return</t>
        </is>
      </c>
      <c r="E5" s="5" t="inlineStr">
        <is>
          <t>Annual Volatility (Std Dev)</t>
        </is>
      </c>
    </row>
    <row r="6">
      <c r="B6" s="6" t="inlineStr">
        <is>
          <t>Lucky Cement</t>
        </is>
      </c>
      <c r="C6" s="6" t="inlineStr">
        <is>
          <t>Cement</t>
        </is>
      </c>
      <c r="D6" s="7" t="n">
        <v>0.16</v>
      </c>
      <c r="E6" s="7" t="n">
        <v>0.28</v>
      </c>
    </row>
    <row r="7">
      <c r="B7" s="6" t="inlineStr">
        <is>
          <t>Engro Corporation</t>
        </is>
      </c>
      <c r="C7" s="6" t="inlineStr">
        <is>
          <t>Fertilizer/Chemicals</t>
        </is>
      </c>
      <c r="D7" s="7" t="n">
        <v>0.15</v>
      </c>
      <c r="E7" s="7" t="n">
        <v>0.24</v>
      </c>
    </row>
    <row r="8">
      <c r="B8" s="6" t="inlineStr">
        <is>
          <t>Systems Limited</t>
        </is>
      </c>
      <c r="C8" s="6" t="inlineStr">
        <is>
          <t>Technology/IT Services</t>
        </is>
      </c>
      <c r="D8" s="7" t="n">
        <v>0.24</v>
      </c>
      <c r="E8" s="7" t="n">
        <v>0.35</v>
      </c>
    </row>
    <row r="9">
      <c r="B9" s="6" t="inlineStr">
        <is>
          <t>Fauji Fertilizer Company</t>
        </is>
      </c>
      <c r="C9" s="6" t="inlineStr">
        <is>
          <t>Fertilizer</t>
        </is>
      </c>
      <c r="D9" s="7" t="n">
        <v>0.14</v>
      </c>
      <c r="E9" s="7" t="n">
        <v>0.22</v>
      </c>
    </row>
    <row r="10">
      <c r="B10" s="6" t="inlineStr">
        <is>
          <t>Nestle Pakistan</t>
        </is>
      </c>
      <c r="C10" s="6" t="inlineStr">
        <is>
          <t>Food &amp; Consumer</t>
        </is>
      </c>
      <c r="D10" s="7" t="n">
        <v>0.12</v>
      </c>
      <c r="E10" s="7" t="n">
        <v>0.18</v>
      </c>
    </row>
    <row r="11">
      <c r="B11" s="6" t="inlineStr">
        <is>
          <t>Millat Tractors</t>
        </is>
      </c>
      <c r="C11" s="6" t="inlineStr">
        <is>
          <t>Automobile/Engineering</t>
        </is>
      </c>
      <c r="D11" s="7" t="n">
        <v>0.17</v>
      </c>
      <c r="E11" s="7" t="n">
        <v>0.3</v>
      </c>
    </row>
    <row r="13">
      <c r="B13" s="3" t="inlineStr">
        <is>
          <t>Correlation Matrix (illustrative)</t>
        </is>
      </c>
    </row>
    <row r="14">
      <c r="B14" s="5" t="inlineStr"/>
      <c r="C14" s="5" t="inlineStr">
        <is>
          <t>Lucky Cement</t>
        </is>
      </c>
      <c r="D14" s="5" t="inlineStr">
        <is>
          <t>Engro Corporation</t>
        </is>
      </c>
      <c r="E14" s="5" t="inlineStr">
        <is>
          <t>Systems Limited</t>
        </is>
      </c>
      <c r="F14" s="5" t="inlineStr">
        <is>
          <t>Fauji Fertilizer Company</t>
        </is>
      </c>
      <c r="G14" s="5" t="inlineStr">
        <is>
          <t>Nestle Pakistan</t>
        </is>
      </c>
      <c r="H14" s="5" t="inlineStr">
        <is>
          <t>Millat Tractors</t>
        </is>
      </c>
    </row>
    <row r="15">
      <c r="B15" s="8" t="inlineStr">
        <is>
          <t>Lucky Cement</t>
        </is>
      </c>
      <c r="C15" s="9" t="n">
        <v>1</v>
      </c>
      <c r="D15" s="9" t="n">
        <v>0.55</v>
      </c>
      <c r="E15" s="9" t="n">
        <v>0.2</v>
      </c>
      <c r="F15" s="9" t="n">
        <v>0.5</v>
      </c>
      <c r="G15" s="9" t="n">
        <v>0.3</v>
      </c>
      <c r="H15" s="9" t="n">
        <v>0.35</v>
      </c>
    </row>
    <row r="16">
      <c r="B16" s="8" t="inlineStr">
        <is>
          <t>Engro Corporation</t>
        </is>
      </c>
      <c r="C16" s="9" t="n">
        <v>0.55</v>
      </c>
      <c r="D16" s="9" t="n">
        <v>1</v>
      </c>
      <c r="E16" s="9" t="n">
        <v>0.15</v>
      </c>
      <c r="F16" s="9" t="n">
        <v>0.6</v>
      </c>
      <c r="G16" s="9" t="n">
        <v>0.25</v>
      </c>
      <c r="H16" s="9" t="n">
        <v>0.3</v>
      </c>
    </row>
    <row r="17">
      <c r="B17" s="8" t="inlineStr">
        <is>
          <t>Systems Limited</t>
        </is>
      </c>
      <c r="C17" s="9" t="n">
        <v>0.2</v>
      </c>
      <c r="D17" s="9" t="n">
        <v>0.15</v>
      </c>
      <c r="E17" s="9" t="n">
        <v>1</v>
      </c>
      <c r="F17" s="9" t="n">
        <v>0.1</v>
      </c>
      <c r="G17" s="9" t="n">
        <v>0.2</v>
      </c>
      <c r="H17" s="9" t="n">
        <v>0.15</v>
      </c>
    </row>
    <row r="18">
      <c r="B18" s="8" t="inlineStr">
        <is>
          <t>Fauji Fertilizer Company</t>
        </is>
      </c>
      <c r="C18" s="9" t="n">
        <v>0.5</v>
      </c>
      <c r="D18" s="9" t="n">
        <v>0.6</v>
      </c>
      <c r="E18" s="9" t="n">
        <v>0.1</v>
      </c>
      <c r="F18" s="9" t="n">
        <v>1</v>
      </c>
      <c r="G18" s="9" t="n">
        <v>0.35</v>
      </c>
      <c r="H18" s="9" t="n">
        <v>0.3</v>
      </c>
    </row>
    <row r="19">
      <c r="B19" s="8" t="inlineStr">
        <is>
          <t>Nestle Pakistan</t>
        </is>
      </c>
      <c r="C19" s="9" t="n">
        <v>0.3</v>
      </c>
      <c r="D19" s="9" t="n">
        <v>0.25</v>
      </c>
      <c r="E19" s="9" t="n">
        <v>0.2</v>
      </c>
      <c r="F19" s="9" t="n">
        <v>0.35</v>
      </c>
      <c r="G19" s="9" t="n">
        <v>1</v>
      </c>
      <c r="H19" s="9" t="n">
        <v>0.25</v>
      </c>
    </row>
    <row r="20">
      <c r="B20" s="8" t="inlineStr">
        <is>
          <t>Millat Tractors</t>
        </is>
      </c>
      <c r="C20" s="9" t="n">
        <v>0.35</v>
      </c>
      <c r="D20" s="9" t="n">
        <v>0.3</v>
      </c>
      <c r="E20" s="9" t="n">
        <v>0.15</v>
      </c>
      <c r="F20" s="9" t="n">
        <v>0.3</v>
      </c>
      <c r="G20" s="9" t="n">
        <v>0.25</v>
      </c>
      <c r="H20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Portfolio Optimizer - 6-Stock Shariah-Compliant Portfolio</t>
        </is>
      </c>
    </row>
    <row r="3">
      <c r="B3" s="2" t="inlineStr">
        <is>
          <t>Adjust weights (yellow cells) - must sum to 100%. Risk-free rate assumption: 11% (illustrative PKR T-bill proxy).</t>
        </is>
      </c>
    </row>
    <row r="5">
      <c r="B5" t="inlineStr">
        <is>
          <t>Risk-free rate (annual):</t>
        </is>
      </c>
      <c r="D5" s="10" t="n">
        <v>0.11</v>
      </c>
    </row>
    <row r="7">
      <c r="B7" s="5" t="inlineStr">
        <is>
          <t>Stock</t>
        </is>
      </c>
      <c r="C7" s="5" t="inlineStr">
        <is>
          <t>Expected Return</t>
        </is>
      </c>
      <c r="D7" s="5" t="inlineStr">
        <is>
          <t>Volatility</t>
        </is>
      </c>
      <c r="E7" s="5" t="inlineStr">
        <is>
          <t>Weight (Your Portfolio)</t>
        </is>
      </c>
    </row>
    <row r="8">
      <c r="B8" s="6" t="inlineStr">
        <is>
          <t>Lucky Cement</t>
        </is>
      </c>
      <c r="C8" s="7" t="n">
        <v>0.16</v>
      </c>
      <c r="D8" s="7" t="n">
        <v>0.28</v>
      </c>
      <c r="E8" s="11" t="n">
        <v>0.2</v>
      </c>
    </row>
    <row r="9">
      <c r="B9" s="6" t="inlineStr">
        <is>
          <t>Engro Corporation</t>
        </is>
      </c>
      <c r="C9" s="7" t="n">
        <v>0.15</v>
      </c>
      <c r="D9" s="7" t="n">
        <v>0.24</v>
      </c>
      <c r="E9" s="11" t="n">
        <v>0.15</v>
      </c>
    </row>
    <row r="10">
      <c r="B10" s="6" t="inlineStr">
        <is>
          <t>Systems Limited</t>
        </is>
      </c>
      <c r="C10" s="7" t="n">
        <v>0.24</v>
      </c>
      <c r="D10" s="7" t="n">
        <v>0.35</v>
      </c>
      <c r="E10" s="11" t="n">
        <v>0.15</v>
      </c>
    </row>
    <row r="11">
      <c r="B11" s="6" t="inlineStr">
        <is>
          <t>Fauji Fertilizer Company</t>
        </is>
      </c>
      <c r="C11" s="7" t="n">
        <v>0.14</v>
      </c>
      <c r="D11" s="7" t="n">
        <v>0.22</v>
      </c>
      <c r="E11" s="11" t="n">
        <v>0.2</v>
      </c>
    </row>
    <row r="12">
      <c r="B12" s="6" t="inlineStr">
        <is>
          <t>Nestle Pakistan</t>
        </is>
      </c>
      <c r="C12" s="7" t="n">
        <v>0.12</v>
      </c>
      <c r="D12" s="7" t="n">
        <v>0.18</v>
      </c>
      <c r="E12" s="11" t="n">
        <v>0.15</v>
      </c>
    </row>
    <row r="13">
      <c r="B13" s="6" t="inlineStr">
        <is>
          <t>Millat Tractors</t>
        </is>
      </c>
      <c r="C13" s="7" t="n">
        <v>0.17</v>
      </c>
      <c r="D13" s="7" t="n">
        <v>0.3</v>
      </c>
      <c r="E13" s="11" t="n">
        <v>0.15</v>
      </c>
    </row>
    <row r="14">
      <c r="B14" s="8" t="inlineStr">
        <is>
          <t>TOTAL (must = 100%)</t>
        </is>
      </c>
      <c r="E14" s="10">
        <f>SUM(E8:E13)</f>
        <v/>
      </c>
    </row>
    <row r="16">
      <c r="B16" s="3" t="inlineStr">
        <is>
          <t>Weighted Covariance Grid (w_i * w_j * Cov_ij) - portfolio variance = sum of grid</t>
        </is>
      </c>
    </row>
    <row r="17">
      <c r="B17" s="5" t="n"/>
      <c r="C17" s="5" t="inlineStr">
        <is>
          <t>Lucky Cement</t>
        </is>
      </c>
      <c r="D17" s="5" t="inlineStr">
        <is>
          <t>Engro Corporation</t>
        </is>
      </c>
      <c r="E17" s="5" t="inlineStr">
        <is>
          <t>Systems Limited</t>
        </is>
      </c>
      <c r="F17" s="5" t="inlineStr">
        <is>
          <t>Fauji Fertilizer Company</t>
        </is>
      </c>
      <c r="G17" s="5" t="inlineStr">
        <is>
          <t>Nestle Pakistan</t>
        </is>
      </c>
      <c r="H17" s="5" t="inlineStr">
        <is>
          <t>Millat Tractors</t>
        </is>
      </c>
    </row>
    <row r="18">
      <c r="B18" s="8" t="inlineStr">
        <is>
          <t>Lucky Cement</t>
        </is>
      </c>
      <c r="C18" s="12">
        <f>$E$8*$E$8*0.07840000000000001</f>
        <v/>
      </c>
      <c r="D18" s="12">
        <f>$E$8*$E$9*0.03696000000000001</f>
        <v/>
      </c>
      <c r="E18" s="12">
        <f>$E$8*$E$10*0.019600000000000003</f>
        <v/>
      </c>
      <c r="F18" s="12">
        <f>$E$8*$E$11*0.030800000000000004</f>
        <v/>
      </c>
      <c r="G18" s="12">
        <f>$E$8*$E$12*0.01512</f>
        <v/>
      </c>
      <c r="H18" s="12">
        <f>$E$8*$E$13*0.0294</f>
        <v/>
      </c>
    </row>
    <row r="19">
      <c r="B19" s="8" t="inlineStr">
        <is>
          <t>Engro Corporation</t>
        </is>
      </c>
      <c r="C19" s="12">
        <f>$E$9*$E$8*0.03696000000000001</f>
        <v/>
      </c>
      <c r="D19" s="12">
        <f>$E$9*$E$9*0.0576</f>
        <v/>
      </c>
      <c r="E19" s="12">
        <f>$E$9*$E$10*0.012599999999999998</f>
        <v/>
      </c>
      <c r="F19" s="12">
        <f>$E$9*$E$11*0.03168</f>
        <v/>
      </c>
      <c r="G19" s="12">
        <f>$E$9*$E$12*0.010799999999999999</f>
        <v/>
      </c>
      <c r="H19" s="12">
        <f>$E$9*$E$13*0.021599999999999998</f>
        <v/>
      </c>
    </row>
    <row r="20">
      <c r="B20" s="8" t="inlineStr">
        <is>
          <t>Systems Limited</t>
        </is>
      </c>
      <c r="C20" s="12">
        <f>$E$10*$E$8*0.019600000000000003</f>
        <v/>
      </c>
      <c r="D20" s="12">
        <f>$E$10*$E$9*0.012599999999999998</f>
        <v/>
      </c>
      <c r="E20" s="12">
        <f>$E$10*$E$10*0.12249999999999998</f>
        <v/>
      </c>
      <c r="F20" s="12">
        <f>$E$10*$E$11*0.0077</f>
        <v/>
      </c>
      <c r="G20" s="12">
        <f>$E$10*$E$12*0.0126</f>
        <v/>
      </c>
      <c r="H20" s="12">
        <f>$E$10*$E$13*0.01575</f>
        <v/>
      </c>
    </row>
    <row r="21">
      <c r="B21" s="8" t="inlineStr">
        <is>
          <t>Fauji Fertilizer Company</t>
        </is>
      </c>
      <c r="C21" s="12">
        <f>$E$11*$E$8*0.030800000000000004</f>
        <v/>
      </c>
      <c r="D21" s="12">
        <f>$E$11*$E$9*0.03168</f>
        <v/>
      </c>
      <c r="E21" s="12">
        <f>$E$11*$E$10*0.0077</f>
        <v/>
      </c>
      <c r="F21" s="12">
        <f>$E$11*$E$11*0.0484</f>
        <v/>
      </c>
      <c r="G21" s="12">
        <f>$E$11*$E$12*0.013859999999999997</f>
        <v/>
      </c>
      <c r="H21" s="12">
        <f>$E$11*$E$13*0.0198</f>
        <v/>
      </c>
    </row>
    <row r="22">
      <c r="B22" s="8" t="inlineStr">
        <is>
          <t>Nestle Pakistan</t>
        </is>
      </c>
      <c r="C22" s="12">
        <f>$E$12*$E$8*0.01512</f>
        <v/>
      </c>
      <c r="D22" s="12">
        <f>$E$12*$E$9*0.010799999999999999</f>
        <v/>
      </c>
      <c r="E22" s="12">
        <f>$E$12*$E$10*0.0126</f>
        <v/>
      </c>
      <c r="F22" s="12">
        <f>$E$12*$E$11*0.013859999999999997</f>
        <v/>
      </c>
      <c r="G22" s="12">
        <f>$E$12*$E$12*0.0324</f>
        <v/>
      </c>
      <c r="H22" s="12">
        <f>$E$12*$E$13*0.0135</f>
        <v/>
      </c>
    </row>
    <row r="23">
      <c r="B23" s="8" t="inlineStr">
        <is>
          <t>Millat Tractors</t>
        </is>
      </c>
      <c r="C23" s="12">
        <f>$E$13*$E$8*0.0294</f>
        <v/>
      </c>
      <c r="D23" s="12">
        <f>$E$13*$E$9*0.021599999999999998</f>
        <v/>
      </c>
      <c r="E23" s="12">
        <f>$E$13*$E$10*0.01575</f>
        <v/>
      </c>
      <c r="F23" s="12">
        <f>$E$13*$E$11*0.0198</f>
        <v/>
      </c>
      <c r="G23" s="12">
        <f>$E$13*$E$12*0.0135</f>
        <v/>
      </c>
      <c r="H23" s="12">
        <f>$E$13*$E$13*0.09</f>
        <v/>
      </c>
    </row>
    <row r="25">
      <c r="B25" s="8" t="inlineStr">
        <is>
          <t>Portfolio Expected Return</t>
        </is>
      </c>
      <c r="D25" s="13">
        <f>SUMPRODUCT(E8:E13,C8:C13)</f>
        <v/>
      </c>
    </row>
    <row r="26">
      <c r="B26" s="8" t="inlineStr">
        <is>
          <t>Portfolio Variance</t>
        </is>
      </c>
      <c r="D26" s="14">
        <f>SUM(C18:H23)</f>
        <v/>
      </c>
    </row>
    <row r="27">
      <c r="B27" s="8" t="inlineStr">
        <is>
          <t>Portfolio Std Dev (Risk)</t>
        </is>
      </c>
      <c r="D27" s="13">
        <f>SQRT(D26)</f>
        <v/>
      </c>
    </row>
    <row r="28">
      <c r="B28" s="3" t="inlineStr">
        <is>
          <t>Sharpe Ratio</t>
        </is>
      </c>
      <c r="D28" s="15">
        <f>(D25-D5)/D27</f>
        <v/>
      </c>
    </row>
  </sheetData>
  <conditionalFormatting sqref="E14">
    <cfRule type="expression" priority="1" dxfId="1">
      <formula>E14&lt;&gt;1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0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Efficient Frontier &amp; Scenario Comparison</t>
        </is>
      </c>
    </row>
    <row r="3">
      <c r="B3" s="2" t="inlineStr">
        <is>
          <t>2000 randomly simulated long-only portfolios (Monte Carlo) across the 6-stock compliant universe.</t>
        </is>
      </c>
    </row>
    <row r="5">
      <c r="B5" s="5" t="inlineStr">
        <is>
          <t>Risk (Std Dev)</t>
        </is>
      </c>
      <c r="C5" s="5" t="inlineStr">
        <is>
          <t>Return</t>
        </is>
      </c>
    </row>
    <row r="6">
      <c r="B6" t="n">
        <v>0.19458</v>
      </c>
      <c r="C6" t="n">
        <v>0.17933</v>
      </c>
    </row>
    <row r="7">
      <c r="B7" t="n">
        <v>0.19736</v>
      </c>
      <c r="C7" t="n">
        <v>0.15446</v>
      </c>
    </row>
    <row r="8">
      <c r="B8" t="n">
        <v>0.20918</v>
      </c>
      <c r="C8" t="n">
        <v>0.18329</v>
      </c>
    </row>
    <row r="9">
      <c r="B9" t="n">
        <v>0.16758</v>
      </c>
      <c r="C9" t="n">
        <v>0.16512</v>
      </c>
    </row>
    <row r="10">
      <c r="B10" t="n">
        <v>0.18848</v>
      </c>
      <c r="C10" t="n">
        <v>0.17224</v>
      </c>
    </row>
    <row r="11">
      <c r="B11" t="n">
        <v>0.17432</v>
      </c>
      <c r="C11" t="n">
        <v>0.16736</v>
      </c>
    </row>
    <row r="12">
      <c r="B12" t="n">
        <v>0.17041</v>
      </c>
      <c r="C12" t="n">
        <v>0.16476</v>
      </c>
    </row>
    <row r="13">
      <c r="B13" t="n">
        <v>0.16905</v>
      </c>
      <c r="C13" t="n">
        <v>0.16413</v>
      </c>
    </row>
    <row r="14">
      <c r="B14" t="n">
        <v>0.21411</v>
      </c>
      <c r="C14" t="n">
        <v>0.17396</v>
      </c>
    </row>
    <row r="15">
      <c r="B15" t="n">
        <v>0.22846</v>
      </c>
      <c r="C15" t="n">
        <v>0.1593</v>
      </c>
    </row>
    <row r="16">
      <c r="B16" t="n">
        <v>0.16534</v>
      </c>
      <c r="C16" t="n">
        <v>0.15485</v>
      </c>
    </row>
    <row r="17">
      <c r="B17" t="n">
        <v>0.18457</v>
      </c>
      <c r="C17" t="n">
        <v>0.15344</v>
      </c>
    </row>
    <row r="18">
      <c r="B18" t="n">
        <v>0.1682</v>
      </c>
      <c r="C18" t="n">
        <v>0.14334</v>
      </c>
    </row>
    <row r="19">
      <c r="B19" t="n">
        <v>0.20615</v>
      </c>
      <c r="C19" t="n">
        <v>0.17844</v>
      </c>
    </row>
    <row r="20">
      <c r="B20" t="n">
        <v>0.21027</v>
      </c>
      <c r="C20" t="n">
        <v>0.19327</v>
      </c>
    </row>
    <row r="21">
      <c r="B21" t="n">
        <v>0.18753</v>
      </c>
      <c r="C21" t="n">
        <v>0.17679</v>
      </c>
    </row>
    <row r="22">
      <c r="B22" t="n">
        <v>0.18621</v>
      </c>
      <c r="C22" t="n">
        <v>0.15792</v>
      </c>
    </row>
    <row r="23">
      <c r="B23" t="n">
        <v>0.18136</v>
      </c>
      <c r="C23" t="n">
        <v>0.1716</v>
      </c>
    </row>
    <row r="24">
      <c r="B24" t="n">
        <v>0.19069</v>
      </c>
      <c r="C24" t="n">
        <v>0.15579</v>
      </c>
    </row>
    <row r="25">
      <c r="B25" t="n">
        <v>0.17888</v>
      </c>
      <c r="C25" t="n">
        <v>0.17465</v>
      </c>
    </row>
    <row r="26">
      <c r="B26" t="n">
        <v>0.20125</v>
      </c>
      <c r="C26" t="n">
        <v>0.16117</v>
      </c>
    </row>
    <row r="27">
      <c r="B27" t="n">
        <v>0.17923</v>
      </c>
      <c r="C27" t="n">
        <v>0.14875</v>
      </c>
    </row>
    <row r="28">
      <c r="B28" t="n">
        <v>0.15503</v>
      </c>
      <c r="C28" t="n">
        <v>0.15008</v>
      </c>
    </row>
    <row r="29">
      <c r="B29" t="n">
        <v>0.16934</v>
      </c>
      <c r="C29" t="n">
        <v>0.16213</v>
      </c>
    </row>
    <row r="30">
      <c r="B30" t="n">
        <v>0.17493</v>
      </c>
      <c r="C30" t="n">
        <v>0.16672</v>
      </c>
    </row>
    <row r="31">
      <c r="B31" t="n">
        <v>0.18505</v>
      </c>
      <c r="C31" t="n">
        <v>0.15768</v>
      </c>
    </row>
    <row r="32">
      <c r="B32" t="n">
        <v>0.21672</v>
      </c>
      <c r="C32" t="n">
        <v>0.19733</v>
      </c>
    </row>
    <row r="33">
      <c r="B33" t="n">
        <v>0.1576</v>
      </c>
      <c r="C33" t="n">
        <v>0.14839</v>
      </c>
    </row>
    <row r="34">
      <c r="B34" t="n">
        <v>0.17664</v>
      </c>
      <c r="C34" t="n">
        <v>0.15436</v>
      </c>
    </row>
    <row r="35">
      <c r="B35" t="n">
        <v>0.16823</v>
      </c>
      <c r="C35" t="n">
        <v>0.16675</v>
      </c>
    </row>
    <row r="36">
      <c r="B36" t="n">
        <v>0.17948</v>
      </c>
      <c r="C36" t="n">
        <v>0.171</v>
      </c>
    </row>
    <row r="37">
      <c r="B37" t="n">
        <v>0.19439</v>
      </c>
      <c r="C37" t="n">
        <v>0.18466</v>
      </c>
    </row>
    <row r="38">
      <c r="B38" t="n">
        <v>0.18671</v>
      </c>
      <c r="C38" t="n">
        <v>0.14778</v>
      </c>
    </row>
    <row r="39">
      <c r="B39" t="n">
        <v>0.19344</v>
      </c>
      <c r="C39" t="n">
        <v>0.17568</v>
      </c>
    </row>
    <row r="40">
      <c r="B40" t="n">
        <v>0.18869</v>
      </c>
      <c r="C40" t="n">
        <v>0.15451</v>
      </c>
    </row>
    <row r="41">
      <c r="B41" t="n">
        <v>0.17555</v>
      </c>
      <c r="C41" t="n">
        <v>0.15964</v>
      </c>
    </row>
    <row r="42">
      <c r="B42" t="n">
        <v>0.16101</v>
      </c>
      <c r="C42" t="n">
        <v>0.15704</v>
      </c>
    </row>
    <row r="43">
      <c r="B43" t="n">
        <v>0.17062</v>
      </c>
      <c r="C43" t="n">
        <v>0.14445</v>
      </c>
    </row>
    <row r="44">
      <c r="B44" t="n">
        <v>0.18778</v>
      </c>
      <c r="C44" t="n">
        <v>0.17568</v>
      </c>
    </row>
    <row r="45">
      <c r="B45" t="n">
        <v>0.18083</v>
      </c>
      <c r="C45" t="n">
        <v>0.14538</v>
      </c>
    </row>
    <row r="46">
      <c r="B46" t="n">
        <v>0.16886</v>
      </c>
      <c r="C46" t="n">
        <v>0.16977</v>
      </c>
    </row>
    <row r="47">
      <c r="B47" t="n">
        <v>0.1566</v>
      </c>
      <c r="C47" t="n">
        <v>0.15462</v>
      </c>
    </row>
    <row r="48">
      <c r="B48" t="n">
        <v>0.21284</v>
      </c>
      <c r="C48" t="n">
        <v>0.19306</v>
      </c>
    </row>
    <row r="49">
      <c r="B49" t="n">
        <v>0.15579</v>
      </c>
      <c r="C49" t="n">
        <v>0.14049</v>
      </c>
    </row>
    <row r="50">
      <c r="B50" t="n">
        <v>0.21436</v>
      </c>
      <c r="C50" t="n">
        <v>0.17519</v>
      </c>
    </row>
    <row r="51">
      <c r="B51" t="n">
        <v>0.2025</v>
      </c>
      <c r="C51" t="n">
        <v>0.16852</v>
      </c>
    </row>
    <row r="52">
      <c r="B52" t="n">
        <v>0.18569</v>
      </c>
      <c r="C52" t="n">
        <v>0.15771</v>
      </c>
    </row>
    <row r="53">
      <c r="B53" t="n">
        <v>0.18515</v>
      </c>
      <c r="C53" t="n">
        <v>0.16096</v>
      </c>
    </row>
    <row r="54">
      <c r="B54" t="n">
        <v>0.18287</v>
      </c>
      <c r="C54" t="n">
        <v>0.15508</v>
      </c>
    </row>
    <row r="55">
      <c r="B55" t="n">
        <v>0.19265</v>
      </c>
      <c r="C55" t="n">
        <v>0.17216</v>
      </c>
    </row>
    <row r="56">
      <c r="B56" t="n">
        <v>0.16881</v>
      </c>
      <c r="C56" t="n">
        <v>0.16641</v>
      </c>
    </row>
    <row r="57">
      <c r="B57" t="n">
        <v>0.1886</v>
      </c>
      <c r="C57" t="n">
        <v>0.17042</v>
      </c>
    </row>
    <row r="58">
      <c r="B58" t="n">
        <v>0.16763</v>
      </c>
      <c r="C58" t="n">
        <v>0.15809</v>
      </c>
    </row>
    <row r="59">
      <c r="B59" t="n">
        <v>0.1604</v>
      </c>
      <c r="C59" t="n">
        <v>0.14873</v>
      </c>
    </row>
    <row r="60">
      <c r="B60" t="n">
        <v>0.16879</v>
      </c>
      <c r="C60" t="n">
        <v>0.15336</v>
      </c>
    </row>
    <row r="61">
      <c r="B61" t="n">
        <v>0.18361</v>
      </c>
      <c r="C61" t="n">
        <v>0.15845</v>
      </c>
    </row>
    <row r="62">
      <c r="B62" t="n">
        <v>0.2161</v>
      </c>
      <c r="C62" t="n">
        <v>0.19472</v>
      </c>
    </row>
    <row r="63">
      <c r="B63" t="n">
        <v>0.20207</v>
      </c>
      <c r="C63" t="n">
        <v>0.16373</v>
      </c>
    </row>
    <row r="64">
      <c r="B64" t="n">
        <v>0.17729</v>
      </c>
      <c r="C64" t="n">
        <v>0.16002</v>
      </c>
    </row>
    <row r="65">
      <c r="B65" t="n">
        <v>0.19675</v>
      </c>
      <c r="C65" t="n">
        <v>0.17696</v>
      </c>
    </row>
    <row r="66">
      <c r="B66" t="n">
        <v>0.15935</v>
      </c>
      <c r="C66" t="n">
        <v>0.14114</v>
      </c>
    </row>
    <row r="67">
      <c r="B67" t="n">
        <v>0.18351</v>
      </c>
      <c r="C67" t="n">
        <v>0.15648</v>
      </c>
    </row>
    <row r="68">
      <c r="B68" t="n">
        <v>0.18779</v>
      </c>
      <c r="C68" t="n">
        <v>0.17885</v>
      </c>
    </row>
    <row r="69">
      <c r="B69" t="n">
        <v>0.19718</v>
      </c>
      <c r="C69" t="n">
        <v>0.1566</v>
      </c>
    </row>
    <row r="70">
      <c r="B70" t="n">
        <v>0.17816</v>
      </c>
      <c r="C70" t="n">
        <v>0.1627</v>
      </c>
    </row>
    <row r="71">
      <c r="B71" t="n">
        <v>0.17821</v>
      </c>
      <c r="C71" t="n">
        <v>0.15523</v>
      </c>
    </row>
    <row r="72">
      <c r="B72" t="n">
        <v>0.17085</v>
      </c>
      <c r="C72" t="n">
        <v>0.16184</v>
      </c>
    </row>
    <row r="73">
      <c r="B73" t="n">
        <v>0.20685</v>
      </c>
      <c r="C73" t="n">
        <v>0.18442</v>
      </c>
    </row>
    <row r="74">
      <c r="B74" t="n">
        <v>0.16668</v>
      </c>
      <c r="C74" t="n">
        <v>0.16323</v>
      </c>
    </row>
    <row r="75">
      <c r="B75" t="n">
        <v>0.16248</v>
      </c>
      <c r="C75" t="n">
        <v>0.12787</v>
      </c>
    </row>
    <row r="76">
      <c r="B76" t="n">
        <v>0.16674</v>
      </c>
      <c r="C76" t="n">
        <v>0.16191</v>
      </c>
    </row>
    <row r="77">
      <c r="B77" t="n">
        <v>0.19775</v>
      </c>
      <c r="C77" t="n">
        <v>0.17053</v>
      </c>
    </row>
    <row r="78">
      <c r="B78" t="n">
        <v>0.19273</v>
      </c>
      <c r="C78" t="n">
        <v>0.15841</v>
      </c>
    </row>
    <row r="79">
      <c r="B79" t="n">
        <v>0.1578</v>
      </c>
      <c r="C79" t="n">
        <v>0.15142</v>
      </c>
    </row>
    <row r="80">
      <c r="B80" t="n">
        <v>0.21029</v>
      </c>
      <c r="C80" t="n">
        <v>0.16034</v>
      </c>
    </row>
    <row r="81">
      <c r="B81" t="n">
        <v>0.19435</v>
      </c>
      <c r="C81" t="n">
        <v>0.18329</v>
      </c>
    </row>
    <row r="82">
      <c r="B82" t="n">
        <v>0.18298</v>
      </c>
      <c r="C82" t="n">
        <v>0.14894</v>
      </c>
    </row>
    <row r="83">
      <c r="B83" t="n">
        <v>0.24214</v>
      </c>
      <c r="C83" t="n">
        <v>0.16414</v>
      </c>
    </row>
    <row r="84">
      <c r="B84" t="n">
        <v>0.16346</v>
      </c>
      <c r="C84" t="n">
        <v>0.1594</v>
      </c>
    </row>
    <row r="85">
      <c r="B85" t="n">
        <v>0.18594</v>
      </c>
      <c r="C85" t="n">
        <v>0.17554</v>
      </c>
    </row>
    <row r="86">
      <c r="B86" t="n">
        <v>0.15906</v>
      </c>
      <c r="C86" t="n">
        <v>0.13586</v>
      </c>
    </row>
    <row r="87">
      <c r="B87" t="n">
        <v>0.18331</v>
      </c>
      <c r="C87" t="n">
        <v>0.15475</v>
      </c>
    </row>
    <row r="88">
      <c r="B88" t="n">
        <v>0.18526</v>
      </c>
      <c r="C88" t="n">
        <v>0.15323</v>
      </c>
    </row>
    <row r="89">
      <c r="B89" t="n">
        <v>0.21909</v>
      </c>
      <c r="C89" t="n">
        <v>0.17018</v>
      </c>
    </row>
    <row r="90">
      <c r="B90" t="n">
        <v>0.19127</v>
      </c>
      <c r="C90" t="n">
        <v>0.15671</v>
      </c>
    </row>
    <row r="91">
      <c r="B91" t="n">
        <v>0.17908</v>
      </c>
      <c r="C91" t="n">
        <v>0.16898</v>
      </c>
    </row>
    <row r="92">
      <c r="B92" t="n">
        <v>0.18382</v>
      </c>
      <c r="C92" t="n">
        <v>0.16404</v>
      </c>
    </row>
    <row r="93">
      <c r="B93" t="n">
        <v>0.20222</v>
      </c>
      <c r="C93" t="n">
        <v>0.18594</v>
      </c>
    </row>
    <row r="94">
      <c r="B94" t="n">
        <v>0.16948</v>
      </c>
      <c r="C94" t="n">
        <v>0.15839</v>
      </c>
    </row>
    <row r="95">
      <c r="B95" t="n">
        <v>0.15951</v>
      </c>
      <c r="C95" t="n">
        <v>0.15822</v>
      </c>
    </row>
    <row r="96">
      <c r="B96" t="n">
        <v>0.17539</v>
      </c>
      <c r="C96" t="n">
        <v>0.14668</v>
      </c>
    </row>
    <row r="97">
      <c r="B97" t="n">
        <v>0.16143</v>
      </c>
      <c r="C97" t="n">
        <v>0.14317</v>
      </c>
    </row>
    <row r="98">
      <c r="B98" t="n">
        <v>0.19293</v>
      </c>
      <c r="C98" t="n">
        <v>0.16318</v>
      </c>
    </row>
    <row r="99">
      <c r="B99" t="n">
        <v>0.17792</v>
      </c>
      <c r="C99" t="n">
        <v>0.16648</v>
      </c>
    </row>
    <row r="100">
      <c r="B100" t="n">
        <v>0.20185</v>
      </c>
      <c r="C100" t="n">
        <v>0.17614</v>
      </c>
    </row>
    <row r="101">
      <c r="B101" t="n">
        <v>0.20188</v>
      </c>
      <c r="C101" t="n">
        <v>0.15814</v>
      </c>
    </row>
    <row r="102">
      <c r="B102" t="n">
        <v>0.22456</v>
      </c>
      <c r="C102" t="n">
        <v>0.16191</v>
      </c>
    </row>
    <row r="103">
      <c r="B103" t="n">
        <v>0.17151</v>
      </c>
      <c r="C103" t="n">
        <v>0.16679</v>
      </c>
    </row>
    <row r="104">
      <c r="B104" t="n">
        <v>0.18461</v>
      </c>
      <c r="C104" t="n">
        <v>0.17615</v>
      </c>
    </row>
    <row r="105">
      <c r="B105" t="n">
        <v>0.19641</v>
      </c>
      <c r="C105" t="n">
        <v>0.16525</v>
      </c>
    </row>
    <row r="106">
      <c r="B106" t="n">
        <v>0.17684</v>
      </c>
      <c r="C106" t="n">
        <v>0.16424</v>
      </c>
    </row>
    <row r="107">
      <c r="B107" t="n">
        <v>0.17871</v>
      </c>
      <c r="C107" t="n">
        <v>0.16524</v>
      </c>
    </row>
    <row r="108">
      <c r="B108" t="n">
        <v>0.17104</v>
      </c>
      <c r="C108" t="n">
        <v>0.16841</v>
      </c>
    </row>
    <row r="109">
      <c r="B109" t="n">
        <v>0.16784</v>
      </c>
      <c r="C109" t="n">
        <v>0.14758</v>
      </c>
    </row>
    <row r="110">
      <c r="B110" t="n">
        <v>0.19952</v>
      </c>
      <c r="C110" t="n">
        <v>0.15924</v>
      </c>
    </row>
    <row r="111">
      <c r="B111" t="n">
        <v>0.20141</v>
      </c>
      <c r="C111" t="n">
        <v>0.17464</v>
      </c>
    </row>
    <row r="112">
      <c r="B112" t="n">
        <v>0.19194</v>
      </c>
      <c r="C112" t="n">
        <v>0.15718</v>
      </c>
    </row>
    <row r="113">
      <c r="B113" t="n">
        <v>0.16261</v>
      </c>
      <c r="C113" t="n">
        <v>0.15178</v>
      </c>
    </row>
    <row r="114">
      <c r="B114" t="n">
        <v>0.16119</v>
      </c>
      <c r="C114" t="n">
        <v>0.1549</v>
      </c>
    </row>
    <row r="115">
      <c r="B115" t="n">
        <v>0.19132</v>
      </c>
      <c r="C115" t="n">
        <v>0.15514</v>
      </c>
    </row>
    <row r="116">
      <c r="B116" t="n">
        <v>0.21978</v>
      </c>
      <c r="C116" t="n">
        <v>0.16553</v>
      </c>
    </row>
    <row r="117">
      <c r="B117" t="n">
        <v>0.17379</v>
      </c>
      <c r="C117" t="n">
        <v>0.17234</v>
      </c>
    </row>
    <row r="118">
      <c r="B118" t="n">
        <v>0.16648</v>
      </c>
      <c r="C118" t="n">
        <v>0.15549</v>
      </c>
    </row>
    <row r="119">
      <c r="B119" t="n">
        <v>0.18154</v>
      </c>
      <c r="C119" t="n">
        <v>0.16963</v>
      </c>
    </row>
    <row r="120">
      <c r="B120" t="n">
        <v>0.1933</v>
      </c>
      <c r="C120" t="n">
        <v>0.15295</v>
      </c>
    </row>
    <row r="121">
      <c r="B121" t="n">
        <v>0.19796</v>
      </c>
      <c r="C121" t="n">
        <v>0.18597</v>
      </c>
    </row>
    <row r="122">
      <c r="B122" t="n">
        <v>0.20104</v>
      </c>
      <c r="C122" t="n">
        <v>0.18508</v>
      </c>
    </row>
    <row r="123">
      <c r="B123" t="n">
        <v>0.2369</v>
      </c>
      <c r="C123" t="n">
        <v>0.17112</v>
      </c>
    </row>
    <row r="124">
      <c r="B124" t="n">
        <v>0.20951</v>
      </c>
      <c r="C124" t="n">
        <v>0.17171</v>
      </c>
    </row>
    <row r="125">
      <c r="B125" t="n">
        <v>0.20876</v>
      </c>
      <c r="C125" t="n">
        <v>0.18878</v>
      </c>
    </row>
    <row r="126">
      <c r="B126" t="n">
        <v>0.18675</v>
      </c>
      <c r="C126" t="n">
        <v>0.16583</v>
      </c>
    </row>
    <row r="127">
      <c r="B127" t="n">
        <v>0.19594</v>
      </c>
      <c r="C127" t="n">
        <v>0.1658</v>
      </c>
    </row>
    <row r="128">
      <c r="B128" t="n">
        <v>0.21241</v>
      </c>
      <c r="C128" t="n">
        <v>0.19475</v>
      </c>
    </row>
    <row r="129">
      <c r="B129" t="n">
        <v>0.15992</v>
      </c>
      <c r="C129" t="n">
        <v>0.13798</v>
      </c>
    </row>
    <row r="130">
      <c r="B130" t="n">
        <v>0.21411</v>
      </c>
      <c r="C130" t="n">
        <v>0.16282</v>
      </c>
    </row>
    <row r="131">
      <c r="B131" t="n">
        <v>0.20793</v>
      </c>
      <c r="C131" t="n">
        <v>0.15038</v>
      </c>
    </row>
    <row r="132">
      <c r="B132" t="n">
        <v>0.18113</v>
      </c>
      <c r="C132" t="n">
        <v>0.15275</v>
      </c>
    </row>
    <row r="133">
      <c r="B133" t="n">
        <v>0.16938</v>
      </c>
      <c r="C133" t="n">
        <v>0.15238</v>
      </c>
    </row>
    <row r="134">
      <c r="B134" t="n">
        <v>0.18159</v>
      </c>
      <c r="C134" t="n">
        <v>0.16126</v>
      </c>
    </row>
    <row r="135">
      <c r="B135" t="n">
        <v>0.17942</v>
      </c>
      <c r="C135" t="n">
        <v>0.17104</v>
      </c>
    </row>
    <row r="136">
      <c r="B136" t="n">
        <v>0.19284</v>
      </c>
      <c r="C136" t="n">
        <v>0.15753</v>
      </c>
    </row>
    <row r="137">
      <c r="B137" t="n">
        <v>0.20021</v>
      </c>
      <c r="C137" t="n">
        <v>0.15639</v>
      </c>
    </row>
    <row r="138">
      <c r="B138" t="n">
        <v>0.1987</v>
      </c>
      <c r="C138" t="n">
        <v>0.16636</v>
      </c>
    </row>
    <row r="139">
      <c r="B139" t="n">
        <v>0.17595</v>
      </c>
      <c r="C139" t="n">
        <v>0.1671</v>
      </c>
    </row>
    <row r="140">
      <c r="B140" t="n">
        <v>0.17146</v>
      </c>
      <c r="C140" t="n">
        <v>0.16845</v>
      </c>
    </row>
    <row r="141">
      <c r="B141" t="n">
        <v>0.16267</v>
      </c>
      <c r="C141" t="n">
        <v>0.16099</v>
      </c>
    </row>
    <row r="142">
      <c r="B142" t="n">
        <v>0.17652</v>
      </c>
      <c r="C142" t="n">
        <v>0.16573</v>
      </c>
    </row>
    <row r="143">
      <c r="B143" t="n">
        <v>0.17165</v>
      </c>
      <c r="C143" t="n">
        <v>0.14664</v>
      </c>
    </row>
    <row r="144">
      <c r="B144" t="n">
        <v>0.19659</v>
      </c>
      <c r="C144" t="n">
        <v>0.15405</v>
      </c>
    </row>
    <row r="145">
      <c r="B145" t="n">
        <v>0.18051</v>
      </c>
      <c r="C145" t="n">
        <v>0.17616</v>
      </c>
    </row>
    <row r="146">
      <c r="B146" t="n">
        <v>0.17916</v>
      </c>
      <c r="C146" t="n">
        <v>0.16005</v>
      </c>
    </row>
    <row r="147">
      <c r="B147" t="n">
        <v>0.21459</v>
      </c>
      <c r="C147" t="n">
        <v>0.1924</v>
      </c>
    </row>
    <row r="148">
      <c r="B148" t="n">
        <v>0.19545</v>
      </c>
      <c r="C148" t="n">
        <v>0.18511</v>
      </c>
    </row>
    <row r="149">
      <c r="B149" t="n">
        <v>0.21481</v>
      </c>
      <c r="C149" t="n">
        <v>0.15693</v>
      </c>
    </row>
    <row r="150">
      <c r="B150" t="n">
        <v>0.23256</v>
      </c>
      <c r="C150" t="n">
        <v>0.17622</v>
      </c>
    </row>
    <row r="151">
      <c r="B151" t="n">
        <v>0.19441</v>
      </c>
      <c r="C151" t="n">
        <v>0.15634</v>
      </c>
    </row>
    <row r="152">
      <c r="B152" t="n">
        <v>0.15585</v>
      </c>
      <c r="C152" t="n">
        <v>0.1347</v>
      </c>
    </row>
    <row r="153">
      <c r="B153" t="n">
        <v>0.15519</v>
      </c>
      <c r="C153" t="n">
        <v>0.14743</v>
      </c>
    </row>
    <row r="154">
      <c r="B154" t="n">
        <v>0.18071</v>
      </c>
      <c r="C154" t="n">
        <v>0.15376</v>
      </c>
    </row>
    <row r="155">
      <c r="B155" t="n">
        <v>0.17725</v>
      </c>
      <c r="C155" t="n">
        <v>0.17153</v>
      </c>
    </row>
    <row r="156">
      <c r="B156" t="n">
        <v>0.21027</v>
      </c>
      <c r="C156" t="n">
        <v>0.19265</v>
      </c>
    </row>
    <row r="157">
      <c r="B157" t="n">
        <v>0.18575</v>
      </c>
      <c r="C157" t="n">
        <v>0.15799</v>
      </c>
    </row>
    <row r="158">
      <c r="B158" t="n">
        <v>0.19549</v>
      </c>
      <c r="C158" t="n">
        <v>0.18313</v>
      </c>
    </row>
    <row r="159">
      <c r="B159" t="n">
        <v>0.17505</v>
      </c>
      <c r="C159" t="n">
        <v>0.16096</v>
      </c>
    </row>
    <row r="160">
      <c r="B160" t="n">
        <v>0.183</v>
      </c>
      <c r="C160" t="n">
        <v>0.17672</v>
      </c>
    </row>
    <row r="161">
      <c r="B161" t="n">
        <v>0.19288</v>
      </c>
      <c r="C161" t="n">
        <v>0.17301</v>
      </c>
    </row>
    <row r="162">
      <c r="B162" t="n">
        <v>0.17688</v>
      </c>
      <c r="C162" t="n">
        <v>0.16568</v>
      </c>
    </row>
    <row r="163">
      <c r="B163" t="n">
        <v>0.19558</v>
      </c>
      <c r="C163" t="n">
        <v>0.16175</v>
      </c>
    </row>
    <row r="164">
      <c r="B164" t="n">
        <v>0.1688</v>
      </c>
      <c r="C164" t="n">
        <v>0.16769</v>
      </c>
    </row>
    <row r="165">
      <c r="B165" t="n">
        <v>0.21288</v>
      </c>
      <c r="C165" t="n">
        <v>0.19504</v>
      </c>
    </row>
    <row r="166">
      <c r="B166" t="n">
        <v>0.20091</v>
      </c>
      <c r="C166" t="n">
        <v>0.16957</v>
      </c>
    </row>
    <row r="167">
      <c r="B167" t="n">
        <v>0.16192</v>
      </c>
      <c r="C167" t="n">
        <v>0.15174</v>
      </c>
    </row>
    <row r="168">
      <c r="B168" t="n">
        <v>0.19994</v>
      </c>
      <c r="C168" t="n">
        <v>0.18394</v>
      </c>
    </row>
    <row r="169">
      <c r="B169" t="n">
        <v>0.18532</v>
      </c>
      <c r="C169" t="n">
        <v>0.15528</v>
      </c>
    </row>
    <row r="170">
      <c r="B170" t="n">
        <v>0.17433</v>
      </c>
      <c r="C170" t="n">
        <v>0.15997</v>
      </c>
    </row>
    <row r="171">
      <c r="B171" t="n">
        <v>0.16517</v>
      </c>
      <c r="C171" t="n">
        <v>0.16488</v>
      </c>
    </row>
    <row r="172">
      <c r="B172" t="n">
        <v>0.19151</v>
      </c>
      <c r="C172" t="n">
        <v>0.17192</v>
      </c>
    </row>
    <row r="173">
      <c r="B173" t="n">
        <v>0.17817</v>
      </c>
      <c r="C173" t="n">
        <v>0.16347</v>
      </c>
    </row>
    <row r="174">
      <c r="B174" t="n">
        <v>0.15168</v>
      </c>
      <c r="C174" t="n">
        <v>0.13976</v>
      </c>
    </row>
    <row r="175">
      <c r="B175" t="n">
        <v>0.16695</v>
      </c>
      <c r="C175" t="n">
        <v>0.16325</v>
      </c>
    </row>
    <row r="176">
      <c r="B176" t="n">
        <v>0.17733</v>
      </c>
      <c r="C176" t="n">
        <v>0.15916</v>
      </c>
    </row>
    <row r="177">
      <c r="B177" t="n">
        <v>0.1631</v>
      </c>
      <c r="C177" t="n">
        <v>0.16192</v>
      </c>
    </row>
    <row r="178">
      <c r="B178" t="n">
        <v>0.17617</v>
      </c>
      <c r="C178" t="n">
        <v>0.17</v>
      </c>
    </row>
    <row r="179">
      <c r="B179" t="n">
        <v>0.17898</v>
      </c>
      <c r="C179" t="n">
        <v>0.1668</v>
      </c>
    </row>
    <row r="180">
      <c r="B180" t="n">
        <v>0.17075</v>
      </c>
      <c r="C180" t="n">
        <v>0.16184</v>
      </c>
    </row>
    <row r="181">
      <c r="B181" t="n">
        <v>0.19144</v>
      </c>
      <c r="C181" t="n">
        <v>0.16153</v>
      </c>
    </row>
    <row r="182">
      <c r="B182" t="n">
        <v>0.20245</v>
      </c>
      <c r="C182" t="n">
        <v>0.17963</v>
      </c>
    </row>
    <row r="183">
      <c r="B183" t="n">
        <v>0.16645</v>
      </c>
      <c r="C183" t="n">
        <v>0.14519</v>
      </c>
    </row>
    <row r="184">
      <c r="B184" t="n">
        <v>0.17206</v>
      </c>
      <c r="C184" t="n">
        <v>0.15992</v>
      </c>
    </row>
    <row r="185">
      <c r="B185" t="n">
        <v>0.21046</v>
      </c>
      <c r="C185" t="n">
        <v>0.19397</v>
      </c>
    </row>
    <row r="186">
      <c r="B186" t="n">
        <v>0.1659</v>
      </c>
      <c r="C186" t="n">
        <v>0.1478</v>
      </c>
    </row>
    <row r="187">
      <c r="B187" t="n">
        <v>0.17758</v>
      </c>
      <c r="C187" t="n">
        <v>0.16642</v>
      </c>
    </row>
    <row r="188">
      <c r="B188" t="n">
        <v>0.19155</v>
      </c>
      <c r="C188" t="n">
        <v>0.18416</v>
      </c>
    </row>
    <row r="189">
      <c r="B189" t="n">
        <v>0.16669</v>
      </c>
      <c r="C189" t="n">
        <v>0.16756</v>
      </c>
    </row>
    <row r="190">
      <c r="B190" t="n">
        <v>0.19177</v>
      </c>
      <c r="C190" t="n">
        <v>0.15849</v>
      </c>
    </row>
    <row r="191">
      <c r="B191" t="n">
        <v>0.23403</v>
      </c>
      <c r="C191" t="n">
        <v>0.20166</v>
      </c>
    </row>
    <row r="192">
      <c r="B192" t="n">
        <v>0.16173</v>
      </c>
      <c r="C192" t="n">
        <v>0.14178</v>
      </c>
    </row>
    <row r="193">
      <c r="B193" t="n">
        <v>0.17714</v>
      </c>
      <c r="C193" t="n">
        <v>0.15549</v>
      </c>
    </row>
    <row r="194">
      <c r="B194" t="n">
        <v>0.18078</v>
      </c>
      <c r="C194" t="n">
        <v>0.15948</v>
      </c>
    </row>
    <row r="195">
      <c r="B195" t="n">
        <v>0.17999</v>
      </c>
      <c r="C195" t="n">
        <v>0.14913</v>
      </c>
    </row>
    <row r="196">
      <c r="B196" t="n">
        <v>0.16545</v>
      </c>
      <c r="C196" t="n">
        <v>0.155</v>
      </c>
    </row>
    <row r="197">
      <c r="B197" t="n">
        <v>0.15433</v>
      </c>
      <c r="C197" t="n">
        <v>0.14875</v>
      </c>
    </row>
    <row r="198">
      <c r="B198" t="n">
        <v>0.18691</v>
      </c>
      <c r="C198" t="n">
        <v>0.18002</v>
      </c>
    </row>
    <row r="199">
      <c r="B199" t="n">
        <v>0.20067</v>
      </c>
      <c r="C199" t="n">
        <v>0.17084</v>
      </c>
    </row>
    <row r="200">
      <c r="B200" t="n">
        <v>0.15949</v>
      </c>
      <c r="C200" t="n">
        <v>0.15859</v>
      </c>
    </row>
    <row r="201">
      <c r="B201" t="n">
        <v>0.18637</v>
      </c>
      <c r="C201" t="n">
        <v>0.16475</v>
      </c>
    </row>
    <row r="202">
      <c r="B202" t="n">
        <v>0.15572</v>
      </c>
      <c r="C202" t="n">
        <v>0.15393</v>
      </c>
    </row>
    <row r="203">
      <c r="B203" t="n">
        <v>0.18872</v>
      </c>
      <c r="C203" t="n">
        <v>0.15314</v>
      </c>
    </row>
    <row r="204">
      <c r="B204" t="n">
        <v>0.21281</v>
      </c>
      <c r="C204" t="n">
        <v>0.19299</v>
      </c>
    </row>
    <row r="205">
      <c r="B205" t="n">
        <v>0.16182</v>
      </c>
      <c r="C205" t="n">
        <v>0.15434</v>
      </c>
    </row>
    <row r="206">
      <c r="B206" t="n">
        <v>0.23068</v>
      </c>
      <c r="C206" t="n">
        <v>0.1694</v>
      </c>
    </row>
    <row r="207">
      <c r="B207" t="n">
        <v>0.17158</v>
      </c>
      <c r="C207" t="n">
        <v>0.14199</v>
      </c>
    </row>
    <row r="208">
      <c r="B208" t="n">
        <v>0.16885</v>
      </c>
      <c r="C208" t="n">
        <v>0.16502</v>
      </c>
    </row>
    <row r="209">
      <c r="B209" t="n">
        <v>0.17424</v>
      </c>
      <c r="C209" t="n">
        <v>0.15854</v>
      </c>
    </row>
    <row r="210">
      <c r="B210" t="n">
        <v>0.19923</v>
      </c>
      <c r="C210" t="n">
        <v>0.15107</v>
      </c>
    </row>
    <row r="211">
      <c r="B211" t="n">
        <v>0.15971</v>
      </c>
      <c r="C211" t="n">
        <v>0.14821</v>
      </c>
    </row>
    <row r="212">
      <c r="B212" t="n">
        <v>0.18294</v>
      </c>
      <c r="C212" t="n">
        <v>0.17823</v>
      </c>
    </row>
    <row r="213">
      <c r="B213" t="n">
        <v>0.16911</v>
      </c>
      <c r="C213" t="n">
        <v>0.15662</v>
      </c>
    </row>
    <row r="214">
      <c r="B214" t="n">
        <v>0.18778</v>
      </c>
      <c r="C214" t="n">
        <v>0.17852</v>
      </c>
    </row>
    <row r="215">
      <c r="B215" t="n">
        <v>0.18849</v>
      </c>
      <c r="C215" t="n">
        <v>0.18193</v>
      </c>
    </row>
    <row r="216">
      <c r="B216" t="n">
        <v>0.17298</v>
      </c>
      <c r="C216" t="n">
        <v>0.16434</v>
      </c>
    </row>
    <row r="217">
      <c r="B217" t="n">
        <v>0.15927</v>
      </c>
      <c r="C217" t="n">
        <v>0.12949</v>
      </c>
    </row>
    <row r="218">
      <c r="B218" t="n">
        <v>0.19537</v>
      </c>
      <c r="C218" t="n">
        <v>0.15742</v>
      </c>
    </row>
    <row r="219">
      <c r="B219" t="n">
        <v>0.17204</v>
      </c>
      <c r="C219" t="n">
        <v>0.16935</v>
      </c>
    </row>
    <row r="220">
      <c r="B220" t="n">
        <v>0.16576</v>
      </c>
      <c r="C220" t="n">
        <v>0.14371</v>
      </c>
    </row>
    <row r="221">
      <c r="B221" t="n">
        <v>0.17863</v>
      </c>
      <c r="C221" t="n">
        <v>0.15628</v>
      </c>
    </row>
    <row r="222">
      <c r="B222" t="n">
        <v>0.17874</v>
      </c>
      <c r="C222" t="n">
        <v>0.15387</v>
      </c>
    </row>
    <row r="223">
      <c r="B223" t="n">
        <v>0.18699</v>
      </c>
      <c r="C223" t="n">
        <v>0.15396</v>
      </c>
    </row>
    <row r="224">
      <c r="B224" t="n">
        <v>0.17389</v>
      </c>
      <c r="C224" t="n">
        <v>0.1731</v>
      </c>
    </row>
    <row r="225">
      <c r="B225" t="n">
        <v>0.19139</v>
      </c>
      <c r="C225" t="n">
        <v>0.15984</v>
      </c>
    </row>
    <row r="226">
      <c r="B226" t="n">
        <v>0.1812</v>
      </c>
      <c r="C226" t="n">
        <v>0.14867</v>
      </c>
    </row>
    <row r="227">
      <c r="B227" t="n">
        <v>0.17286</v>
      </c>
      <c r="C227" t="n">
        <v>0.15915</v>
      </c>
    </row>
    <row r="228">
      <c r="B228" t="n">
        <v>0.23193</v>
      </c>
      <c r="C228" t="n">
        <v>0.19868</v>
      </c>
    </row>
    <row r="229">
      <c r="B229" t="n">
        <v>0.19054</v>
      </c>
      <c r="C229" t="n">
        <v>0.17126</v>
      </c>
    </row>
    <row r="230">
      <c r="B230" t="n">
        <v>0.15886</v>
      </c>
      <c r="C230" t="n">
        <v>0.14796</v>
      </c>
    </row>
    <row r="231">
      <c r="B231" t="n">
        <v>0.23293</v>
      </c>
      <c r="C231" t="n">
        <v>0.20028</v>
      </c>
    </row>
    <row r="232">
      <c r="B232" t="n">
        <v>0.18467</v>
      </c>
      <c r="C232" t="n">
        <v>0.17647</v>
      </c>
    </row>
    <row r="233">
      <c r="B233" t="n">
        <v>0.16662</v>
      </c>
      <c r="C233" t="n">
        <v>0.16571</v>
      </c>
    </row>
    <row r="234">
      <c r="B234" t="n">
        <v>0.17865</v>
      </c>
      <c r="C234" t="n">
        <v>0.15898</v>
      </c>
    </row>
    <row r="235">
      <c r="B235" t="n">
        <v>0.15271</v>
      </c>
      <c r="C235" t="n">
        <v>0.15029</v>
      </c>
    </row>
    <row r="236">
      <c r="B236" t="n">
        <v>0.18832</v>
      </c>
      <c r="C236" t="n">
        <v>0.14572</v>
      </c>
    </row>
    <row r="237">
      <c r="B237" t="n">
        <v>0.22302</v>
      </c>
      <c r="C237" t="n">
        <v>0.16568</v>
      </c>
    </row>
    <row r="238">
      <c r="B238" t="n">
        <v>0.1677</v>
      </c>
      <c r="C238" t="n">
        <v>0.16909</v>
      </c>
    </row>
    <row r="239">
      <c r="B239" t="n">
        <v>0.18358</v>
      </c>
      <c r="C239" t="n">
        <v>0.16327</v>
      </c>
    </row>
    <row r="240">
      <c r="B240" t="n">
        <v>0.15397</v>
      </c>
      <c r="C240" t="n">
        <v>0.14412</v>
      </c>
    </row>
    <row r="241">
      <c r="B241" t="n">
        <v>0.17481</v>
      </c>
      <c r="C241" t="n">
        <v>0.16253</v>
      </c>
    </row>
    <row r="242">
      <c r="B242" t="n">
        <v>0.23202</v>
      </c>
      <c r="C242" t="n">
        <v>0.20286</v>
      </c>
    </row>
    <row r="243">
      <c r="B243" t="n">
        <v>0.16826</v>
      </c>
      <c r="C243" t="n">
        <v>0.15307</v>
      </c>
    </row>
    <row r="244">
      <c r="B244" t="n">
        <v>0.18824</v>
      </c>
      <c r="C244" t="n">
        <v>0.15448</v>
      </c>
    </row>
    <row r="245">
      <c r="B245" t="n">
        <v>0.19763</v>
      </c>
      <c r="C245" t="n">
        <v>0.17291</v>
      </c>
    </row>
    <row r="246">
      <c r="B246" t="n">
        <v>0.18283</v>
      </c>
      <c r="C246" t="n">
        <v>0.15882</v>
      </c>
    </row>
    <row r="247">
      <c r="B247" t="n">
        <v>0.18208</v>
      </c>
      <c r="C247" t="n">
        <v>0.17058</v>
      </c>
    </row>
    <row r="248">
      <c r="B248" t="n">
        <v>0.18139</v>
      </c>
      <c r="C248" t="n">
        <v>0.17444</v>
      </c>
    </row>
    <row r="249">
      <c r="B249" t="n">
        <v>0.17342</v>
      </c>
      <c r="C249" t="n">
        <v>0.1641</v>
      </c>
    </row>
    <row r="250">
      <c r="B250" t="n">
        <v>0.19138</v>
      </c>
      <c r="C250" t="n">
        <v>0.15794</v>
      </c>
    </row>
    <row r="251">
      <c r="B251" t="n">
        <v>0.18896</v>
      </c>
      <c r="C251" t="n">
        <v>0.15792</v>
      </c>
    </row>
    <row r="252">
      <c r="B252" t="n">
        <v>0.15683</v>
      </c>
      <c r="C252" t="n">
        <v>0.14615</v>
      </c>
    </row>
    <row r="253">
      <c r="B253" t="n">
        <v>0.17495</v>
      </c>
      <c r="C253" t="n">
        <v>0.17107</v>
      </c>
    </row>
    <row r="254">
      <c r="B254" t="n">
        <v>0.1839</v>
      </c>
      <c r="C254" t="n">
        <v>0.15805</v>
      </c>
    </row>
    <row r="255">
      <c r="B255" t="n">
        <v>0.17509</v>
      </c>
      <c r="C255" t="n">
        <v>0.14901</v>
      </c>
    </row>
    <row r="256">
      <c r="B256" t="n">
        <v>0.1777</v>
      </c>
      <c r="C256" t="n">
        <v>0.17629</v>
      </c>
    </row>
    <row r="257">
      <c r="B257" t="n">
        <v>0.19624</v>
      </c>
      <c r="C257" t="n">
        <v>0.18338</v>
      </c>
    </row>
    <row r="258">
      <c r="B258" t="n">
        <v>0.17599</v>
      </c>
      <c r="C258" t="n">
        <v>0.16612</v>
      </c>
    </row>
    <row r="259">
      <c r="B259" t="n">
        <v>0.16644</v>
      </c>
      <c r="C259" t="n">
        <v>0.14949</v>
      </c>
    </row>
    <row r="260">
      <c r="B260" t="n">
        <v>0.15915</v>
      </c>
      <c r="C260" t="n">
        <v>0.14608</v>
      </c>
    </row>
    <row r="261">
      <c r="B261" t="n">
        <v>0.22392</v>
      </c>
      <c r="C261" t="n">
        <v>0.16935</v>
      </c>
    </row>
    <row r="262">
      <c r="B262" t="n">
        <v>0.18635</v>
      </c>
      <c r="C262" t="n">
        <v>0.18051</v>
      </c>
    </row>
    <row r="263">
      <c r="B263" t="n">
        <v>0.16561</v>
      </c>
      <c r="C263" t="n">
        <v>0.15279</v>
      </c>
    </row>
    <row r="264">
      <c r="B264" t="n">
        <v>0.15281</v>
      </c>
      <c r="C264" t="n">
        <v>0.14056</v>
      </c>
    </row>
    <row r="265">
      <c r="B265" t="n">
        <v>0.18297</v>
      </c>
      <c r="C265" t="n">
        <v>0.17379</v>
      </c>
    </row>
    <row r="266">
      <c r="B266" t="n">
        <v>0.19473</v>
      </c>
      <c r="C266" t="n">
        <v>0.15274</v>
      </c>
    </row>
    <row r="267">
      <c r="B267" t="n">
        <v>0.16949</v>
      </c>
      <c r="C267" t="n">
        <v>0.16576</v>
      </c>
    </row>
    <row r="268">
      <c r="B268" t="n">
        <v>0.15905</v>
      </c>
      <c r="C268" t="n">
        <v>0.15644</v>
      </c>
    </row>
    <row r="269">
      <c r="B269" t="n">
        <v>0.17534</v>
      </c>
      <c r="C269" t="n">
        <v>0.17251</v>
      </c>
    </row>
    <row r="270">
      <c r="B270" t="n">
        <v>0.17682</v>
      </c>
      <c r="C270" t="n">
        <v>0.1494</v>
      </c>
    </row>
    <row r="271">
      <c r="B271" t="n">
        <v>0.16559</v>
      </c>
      <c r="C271" t="n">
        <v>0.15126</v>
      </c>
    </row>
    <row r="272">
      <c r="B272" t="n">
        <v>0.21038</v>
      </c>
      <c r="C272" t="n">
        <v>0.15538</v>
      </c>
    </row>
    <row r="273">
      <c r="B273" t="n">
        <v>0.21654</v>
      </c>
      <c r="C273" t="n">
        <v>0.1775</v>
      </c>
    </row>
    <row r="274">
      <c r="B274" t="n">
        <v>0.19442</v>
      </c>
      <c r="C274" t="n">
        <v>0.18223</v>
      </c>
    </row>
    <row r="275">
      <c r="B275" t="n">
        <v>0.17956</v>
      </c>
      <c r="C275" t="n">
        <v>0.16179</v>
      </c>
    </row>
    <row r="276">
      <c r="B276" t="n">
        <v>0.2097</v>
      </c>
      <c r="C276" t="n">
        <v>0.16074</v>
      </c>
    </row>
    <row r="277">
      <c r="B277" t="n">
        <v>0.20896</v>
      </c>
      <c r="C277" t="n">
        <v>0.19361</v>
      </c>
    </row>
    <row r="278">
      <c r="B278" t="n">
        <v>0.15787</v>
      </c>
      <c r="C278" t="n">
        <v>0.13743</v>
      </c>
    </row>
    <row r="279">
      <c r="B279" t="n">
        <v>0.16359</v>
      </c>
      <c r="C279" t="n">
        <v>0.14614</v>
      </c>
    </row>
    <row r="280">
      <c r="B280" t="n">
        <v>0.19037</v>
      </c>
      <c r="C280" t="n">
        <v>0.14923</v>
      </c>
    </row>
    <row r="281">
      <c r="B281" t="n">
        <v>0.20693</v>
      </c>
      <c r="C281" t="n">
        <v>0.19257</v>
      </c>
    </row>
    <row r="282">
      <c r="B282" t="n">
        <v>0.17921</v>
      </c>
      <c r="C282" t="n">
        <v>0.16971</v>
      </c>
    </row>
    <row r="283">
      <c r="B283" t="n">
        <v>0.19379</v>
      </c>
      <c r="C283" t="n">
        <v>0.1692</v>
      </c>
    </row>
    <row r="284">
      <c r="B284" t="n">
        <v>0.15849</v>
      </c>
      <c r="C284" t="n">
        <v>0.14755</v>
      </c>
    </row>
    <row r="285">
      <c r="B285" t="n">
        <v>0.27363</v>
      </c>
      <c r="C285" t="n">
        <v>0.21509</v>
      </c>
    </row>
    <row r="286">
      <c r="B286" t="n">
        <v>0.19295</v>
      </c>
      <c r="C286" t="n">
        <v>0.16816</v>
      </c>
    </row>
    <row r="287">
      <c r="B287" t="n">
        <v>0.16133</v>
      </c>
      <c r="C287" t="n">
        <v>0.14216</v>
      </c>
    </row>
    <row r="288">
      <c r="B288" t="n">
        <v>0.20141</v>
      </c>
      <c r="C288" t="n">
        <v>0.18748</v>
      </c>
    </row>
    <row r="289">
      <c r="B289" t="n">
        <v>0.2199</v>
      </c>
      <c r="C289" t="n">
        <v>0.16607</v>
      </c>
    </row>
    <row r="290">
      <c r="B290" t="n">
        <v>0.18507</v>
      </c>
      <c r="C290" t="n">
        <v>0.1779</v>
      </c>
    </row>
    <row r="291">
      <c r="B291" t="n">
        <v>0.16649</v>
      </c>
      <c r="C291" t="n">
        <v>0.14902</v>
      </c>
    </row>
    <row r="292">
      <c r="B292" t="n">
        <v>0.18339</v>
      </c>
      <c r="C292" t="n">
        <v>0.17824</v>
      </c>
    </row>
    <row r="293">
      <c r="B293" t="n">
        <v>0.1759</v>
      </c>
      <c r="C293" t="n">
        <v>0.16264</v>
      </c>
    </row>
    <row r="294">
      <c r="B294" t="n">
        <v>0.18347</v>
      </c>
      <c r="C294" t="n">
        <v>0.17919</v>
      </c>
    </row>
    <row r="295">
      <c r="B295" t="n">
        <v>0.15566</v>
      </c>
      <c r="C295" t="n">
        <v>0.15626</v>
      </c>
    </row>
    <row r="296">
      <c r="B296" t="n">
        <v>0.18762</v>
      </c>
      <c r="C296" t="n">
        <v>0.17679</v>
      </c>
    </row>
    <row r="297">
      <c r="B297" t="n">
        <v>0.18239</v>
      </c>
      <c r="C297" t="n">
        <v>0.1641</v>
      </c>
    </row>
    <row r="298">
      <c r="B298" t="n">
        <v>0.1701</v>
      </c>
      <c r="C298" t="n">
        <v>0.16022</v>
      </c>
    </row>
    <row r="299">
      <c r="B299" t="n">
        <v>0.18973</v>
      </c>
      <c r="C299" t="n">
        <v>0.17758</v>
      </c>
    </row>
    <row r="300">
      <c r="B300" t="n">
        <v>0.1851</v>
      </c>
      <c r="C300" t="n">
        <v>0.15594</v>
      </c>
    </row>
    <row r="301">
      <c r="B301" t="n">
        <v>0.23476</v>
      </c>
      <c r="C301" t="n">
        <v>0.16194</v>
      </c>
    </row>
    <row r="302">
      <c r="B302" t="n">
        <v>0.16006</v>
      </c>
      <c r="C302" t="n">
        <v>0.1515</v>
      </c>
    </row>
    <row r="303">
      <c r="B303" t="n">
        <v>0.15809</v>
      </c>
      <c r="C303" t="n">
        <v>0.1557</v>
      </c>
    </row>
    <row r="304">
      <c r="B304" t="n">
        <v>0.17518</v>
      </c>
      <c r="C304" t="n">
        <v>0.16704</v>
      </c>
    </row>
    <row r="305">
      <c r="B305" t="n">
        <v>0.16595</v>
      </c>
      <c r="C305" t="n">
        <v>0.16516</v>
      </c>
    </row>
    <row r="306">
      <c r="B306" t="n">
        <v>0.19868</v>
      </c>
      <c r="C306" t="n">
        <v>0.18049</v>
      </c>
    </row>
    <row r="307">
      <c r="B307" t="n">
        <v>0.18963</v>
      </c>
      <c r="C307" t="n">
        <v>0.15789</v>
      </c>
    </row>
    <row r="308">
      <c r="B308" t="n">
        <v>0.18281</v>
      </c>
      <c r="C308" t="n">
        <v>0.1752</v>
      </c>
    </row>
    <row r="309">
      <c r="B309" t="n">
        <v>0.15351</v>
      </c>
      <c r="C309" t="n">
        <v>0.13595</v>
      </c>
    </row>
    <row r="310">
      <c r="B310" t="n">
        <v>0.17043</v>
      </c>
      <c r="C310" t="n">
        <v>0.16394</v>
      </c>
    </row>
    <row r="311">
      <c r="B311" t="n">
        <v>0.18854</v>
      </c>
      <c r="C311" t="n">
        <v>0.15259</v>
      </c>
    </row>
    <row r="312">
      <c r="B312" t="n">
        <v>0.17957</v>
      </c>
      <c r="C312" t="n">
        <v>0.14505</v>
      </c>
    </row>
    <row r="313">
      <c r="B313" t="n">
        <v>0.2136</v>
      </c>
      <c r="C313" t="n">
        <v>0.1865</v>
      </c>
    </row>
    <row r="314">
      <c r="B314" t="n">
        <v>0.17559</v>
      </c>
      <c r="C314" t="n">
        <v>0.17414</v>
      </c>
    </row>
    <row r="315">
      <c r="B315" t="n">
        <v>0.18256</v>
      </c>
      <c r="C315" t="n">
        <v>0.1514</v>
      </c>
    </row>
    <row r="316">
      <c r="B316" t="n">
        <v>0.15869</v>
      </c>
      <c r="C316" t="n">
        <v>0.13892</v>
      </c>
    </row>
    <row r="317">
      <c r="B317" t="n">
        <v>0.1922</v>
      </c>
      <c r="C317" t="n">
        <v>0.1837</v>
      </c>
    </row>
    <row r="318">
      <c r="B318" t="n">
        <v>0.15815</v>
      </c>
      <c r="C318" t="n">
        <v>0.13888</v>
      </c>
    </row>
    <row r="319">
      <c r="B319" t="n">
        <v>0.18307</v>
      </c>
      <c r="C319" t="n">
        <v>0.16706</v>
      </c>
    </row>
    <row r="320">
      <c r="B320" t="n">
        <v>0.19553</v>
      </c>
      <c r="C320" t="n">
        <v>0.18471</v>
      </c>
    </row>
    <row r="321">
      <c r="B321" t="n">
        <v>0.1963</v>
      </c>
      <c r="C321" t="n">
        <v>0.16192</v>
      </c>
    </row>
    <row r="322">
      <c r="B322" t="n">
        <v>0.18287</v>
      </c>
      <c r="C322" t="n">
        <v>0.17943</v>
      </c>
    </row>
    <row r="323">
      <c r="B323" t="n">
        <v>0.18704</v>
      </c>
      <c r="C323" t="n">
        <v>0.15655</v>
      </c>
    </row>
    <row r="324">
      <c r="B324" t="n">
        <v>0.17901</v>
      </c>
      <c r="C324" t="n">
        <v>0.15549</v>
      </c>
    </row>
    <row r="325">
      <c r="B325" t="n">
        <v>0.17436</v>
      </c>
      <c r="C325" t="n">
        <v>0.17018</v>
      </c>
    </row>
    <row r="326">
      <c r="B326" t="n">
        <v>0.18323</v>
      </c>
      <c r="C326" t="n">
        <v>0.17702</v>
      </c>
    </row>
    <row r="327">
      <c r="B327" t="n">
        <v>0.18365</v>
      </c>
      <c r="C327" t="n">
        <v>0.16057</v>
      </c>
    </row>
    <row r="328">
      <c r="B328" t="n">
        <v>0.19076</v>
      </c>
      <c r="C328" t="n">
        <v>0.18058</v>
      </c>
    </row>
    <row r="329">
      <c r="B329" t="n">
        <v>0.1934</v>
      </c>
      <c r="C329" t="n">
        <v>0.18186</v>
      </c>
    </row>
    <row r="330">
      <c r="B330" t="n">
        <v>0.1937</v>
      </c>
      <c r="C330" t="n">
        <v>0.16871</v>
      </c>
    </row>
    <row r="331">
      <c r="B331" t="n">
        <v>0.17788</v>
      </c>
      <c r="C331" t="n">
        <v>0.15755</v>
      </c>
    </row>
    <row r="332">
      <c r="B332" t="n">
        <v>0.16517</v>
      </c>
      <c r="C332" t="n">
        <v>0.14468</v>
      </c>
    </row>
    <row r="333">
      <c r="B333" t="n">
        <v>0.19287</v>
      </c>
      <c r="C333" t="n">
        <v>0.17686</v>
      </c>
    </row>
    <row r="334">
      <c r="B334" t="n">
        <v>0.19217</v>
      </c>
      <c r="C334" t="n">
        <v>0.1793</v>
      </c>
    </row>
    <row r="335">
      <c r="B335" t="n">
        <v>0.17173</v>
      </c>
      <c r="C335" t="n">
        <v>0.15853</v>
      </c>
    </row>
    <row r="336">
      <c r="B336" t="n">
        <v>0.20606</v>
      </c>
      <c r="C336" t="n">
        <v>0.1886</v>
      </c>
    </row>
    <row r="337">
      <c r="B337" t="n">
        <v>0.20236</v>
      </c>
      <c r="C337" t="n">
        <v>0.1576</v>
      </c>
    </row>
    <row r="338">
      <c r="B338" t="n">
        <v>0.17634</v>
      </c>
      <c r="C338" t="n">
        <v>0.16626</v>
      </c>
    </row>
    <row r="339">
      <c r="B339" t="n">
        <v>0.18445</v>
      </c>
      <c r="C339" t="n">
        <v>0.17545</v>
      </c>
    </row>
    <row r="340">
      <c r="B340" t="n">
        <v>0.1794</v>
      </c>
      <c r="C340" t="n">
        <v>0.17041</v>
      </c>
    </row>
    <row r="341">
      <c r="B341" t="n">
        <v>0.15436</v>
      </c>
      <c r="C341" t="n">
        <v>0.13803</v>
      </c>
    </row>
    <row r="342">
      <c r="B342" t="n">
        <v>0.19127</v>
      </c>
      <c r="C342" t="n">
        <v>0.1631</v>
      </c>
    </row>
    <row r="343">
      <c r="B343" t="n">
        <v>0.2053</v>
      </c>
      <c r="C343" t="n">
        <v>0.15646</v>
      </c>
    </row>
    <row r="344">
      <c r="B344" t="n">
        <v>0.16239</v>
      </c>
      <c r="C344" t="n">
        <v>0.1501</v>
      </c>
    </row>
    <row r="345">
      <c r="B345" t="n">
        <v>0.18662</v>
      </c>
      <c r="C345" t="n">
        <v>0.1525</v>
      </c>
    </row>
    <row r="346">
      <c r="B346" t="n">
        <v>0.22349</v>
      </c>
      <c r="C346" t="n">
        <v>0.16606</v>
      </c>
    </row>
    <row r="347">
      <c r="B347" t="n">
        <v>0.18215</v>
      </c>
      <c r="C347" t="n">
        <v>0.15211</v>
      </c>
    </row>
    <row r="348">
      <c r="B348" t="n">
        <v>0.19214</v>
      </c>
      <c r="C348" t="n">
        <v>0.17212</v>
      </c>
    </row>
    <row r="349">
      <c r="B349" t="n">
        <v>0.16751</v>
      </c>
      <c r="C349" t="n">
        <v>0.15816</v>
      </c>
    </row>
    <row r="350">
      <c r="B350" t="n">
        <v>0.16923</v>
      </c>
      <c r="C350" t="n">
        <v>0.16214</v>
      </c>
    </row>
    <row r="351">
      <c r="B351" t="n">
        <v>0.21383</v>
      </c>
      <c r="C351" t="n">
        <v>0.1597</v>
      </c>
    </row>
    <row r="352">
      <c r="B352" t="n">
        <v>0.20681</v>
      </c>
      <c r="C352" t="n">
        <v>0.19041</v>
      </c>
    </row>
    <row r="353">
      <c r="B353" t="n">
        <v>0.21679</v>
      </c>
      <c r="C353" t="n">
        <v>0.15911</v>
      </c>
    </row>
    <row r="354">
      <c r="B354" t="n">
        <v>0.16897</v>
      </c>
      <c r="C354" t="n">
        <v>0.16512</v>
      </c>
    </row>
    <row r="355">
      <c r="B355" t="n">
        <v>0.1607</v>
      </c>
      <c r="C355" t="n">
        <v>0.14831</v>
      </c>
    </row>
    <row r="356">
      <c r="B356" t="n">
        <v>0.16173</v>
      </c>
      <c r="C356" t="n">
        <v>0.13054</v>
      </c>
    </row>
    <row r="357">
      <c r="B357" t="n">
        <v>0.22109</v>
      </c>
      <c r="C357" t="n">
        <v>0.1979</v>
      </c>
    </row>
    <row r="358">
      <c r="B358" t="n">
        <v>0.1716</v>
      </c>
      <c r="C358" t="n">
        <v>0.1657</v>
      </c>
    </row>
    <row r="359">
      <c r="B359" t="n">
        <v>0.22511</v>
      </c>
      <c r="C359" t="n">
        <v>0.16639</v>
      </c>
    </row>
    <row r="360">
      <c r="B360" t="n">
        <v>0.19199</v>
      </c>
      <c r="C360" t="n">
        <v>0.16953</v>
      </c>
    </row>
    <row r="361">
      <c r="B361" t="n">
        <v>0.17583</v>
      </c>
      <c r="C361" t="n">
        <v>0.17162</v>
      </c>
    </row>
    <row r="362">
      <c r="B362" t="n">
        <v>0.17624</v>
      </c>
      <c r="C362" t="n">
        <v>0.16117</v>
      </c>
    </row>
    <row r="363">
      <c r="B363" t="n">
        <v>0.18001</v>
      </c>
      <c r="C363" t="n">
        <v>0.1664</v>
      </c>
    </row>
    <row r="364">
      <c r="B364" t="n">
        <v>0.20258</v>
      </c>
      <c r="C364" t="n">
        <v>0.1659</v>
      </c>
    </row>
    <row r="365">
      <c r="B365" t="n">
        <v>0.20664</v>
      </c>
      <c r="C365" t="n">
        <v>0.15401</v>
      </c>
    </row>
    <row r="366">
      <c r="B366" t="n">
        <v>0.16207</v>
      </c>
      <c r="C366" t="n">
        <v>0.15184</v>
      </c>
    </row>
    <row r="367">
      <c r="B367" t="n">
        <v>0.1718</v>
      </c>
      <c r="C367" t="n">
        <v>0.16653</v>
      </c>
    </row>
    <row r="368">
      <c r="B368" t="n">
        <v>0.16281</v>
      </c>
      <c r="C368" t="n">
        <v>0.16308</v>
      </c>
    </row>
    <row r="369">
      <c r="B369" t="n">
        <v>0.17626</v>
      </c>
      <c r="C369" t="n">
        <v>0.16229</v>
      </c>
    </row>
    <row r="370">
      <c r="B370" t="n">
        <v>0.16439</v>
      </c>
      <c r="C370" t="n">
        <v>0.14484</v>
      </c>
    </row>
    <row r="371">
      <c r="B371" t="n">
        <v>0.15748</v>
      </c>
      <c r="C371" t="n">
        <v>0.14008</v>
      </c>
    </row>
    <row r="372">
      <c r="B372" t="n">
        <v>0.21271</v>
      </c>
      <c r="C372" t="n">
        <v>0.1748</v>
      </c>
    </row>
    <row r="373">
      <c r="B373" t="n">
        <v>0.1609</v>
      </c>
      <c r="C373" t="n">
        <v>0.14394</v>
      </c>
    </row>
    <row r="374">
      <c r="B374" t="n">
        <v>0.17162</v>
      </c>
      <c r="C374" t="n">
        <v>0.16751</v>
      </c>
    </row>
    <row r="375">
      <c r="B375" t="n">
        <v>0.22897</v>
      </c>
      <c r="C375" t="n">
        <v>0.19649</v>
      </c>
    </row>
    <row r="376">
      <c r="B376" t="n">
        <v>0.19501</v>
      </c>
      <c r="C376" t="n">
        <v>0.16635</v>
      </c>
    </row>
    <row r="377">
      <c r="B377" t="n">
        <v>0.16436</v>
      </c>
      <c r="C377" t="n">
        <v>0.1627</v>
      </c>
    </row>
    <row r="378">
      <c r="B378" t="n">
        <v>0.15839</v>
      </c>
      <c r="C378" t="n">
        <v>0.1507</v>
      </c>
    </row>
    <row r="379">
      <c r="B379" t="n">
        <v>0.20676</v>
      </c>
      <c r="C379" t="n">
        <v>0.15694</v>
      </c>
    </row>
    <row r="380">
      <c r="B380" t="n">
        <v>0.19252</v>
      </c>
      <c r="C380" t="n">
        <v>0.18439</v>
      </c>
    </row>
    <row r="381">
      <c r="B381" t="n">
        <v>0.1747</v>
      </c>
      <c r="C381" t="n">
        <v>0.16946</v>
      </c>
    </row>
    <row r="382">
      <c r="B382" t="n">
        <v>0.19473</v>
      </c>
      <c r="C382" t="n">
        <v>0.15329</v>
      </c>
    </row>
    <row r="383">
      <c r="B383" t="n">
        <v>0.20655</v>
      </c>
      <c r="C383" t="n">
        <v>0.16357</v>
      </c>
    </row>
    <row r="384">
      <c r="B384" t="n">
        <v>0.19424</v>
      </c>
      <c r="C384" t="n">
        <v>0.17621</v>
      </c>
    </row>
    <row r="385">
      <c r="B385" t="n">
        <v>0.20384</v>
      </c>
      <c r="C385" t="n">
        <v>0.15227</v>
      </c>
    </row>
    <row r="386">
      <c r="B386" t="n">
        <v>0.18038</v>
      </c>
      <c r="C386" t="n">
        <v>0.16299</v>
      </c>
    </row>
    <row r="387">
      <c r="B387" t="n">
        <v>0.17819</v>
      </c>
      <c r="C387" t="n">
        <v>0.16097</v>
      </c>
    </row>
    <row r="388">
      <c r="B388" t="n">
        <v>0.18067</v>
      </c>
      <c r="C388" t="n">
        <v>0.15265</v>
      </c>
    </row>
    <row r="389">
      <c r="B389" t="n">
        <v>0.19945</v>
      </c>
      <c r="C389" t="n">
        <v>0.1527</v>
      </c>
    </row>
    <row r="390">
      <c r="B390" t="n">
        <v>0.16646</v>
      </c>
      <c r="C390" t="n">
        <v>0.14791</v>
      </c>
    </row>
    <row r="391">
      <c r="B391" t="n">
        <v>0.19518</v>
      </c>
      <c r="C391" t="n">
        <v>0.17908</v>
      </c>
    </row>
    <row r="392">
      <c r="B392" t="n">
        <v>0.16994</v>
      </c>
      <c r="C392" t="n">
        <v>0.16879</v>
      </c>
    </row>
    <row r="393">
      <c r="B393" t="n">
        <v>0.1945</v>
      </c>
      <c r="C393" t="n">
        <v>0.15589</v>
      </c>
    </row>
    <row r="394">
      <c r="B394" t="n">
        <v>0.18599</v>
      </c>
      <c r="C394" t="n">
        <v>0.16648</v>
      </c>
    </row>
    <row r="395">
      <c r="B395" t="n">
        <v>0.16022</v>
      </c>
      <c r="C395" t="n">
        <v>0.1419</v>
      </c>
    </row>
    <row r="396">
      <c r="B396" t="n">
        <v>0.1907</v>
      </c>
      <c r="C396" t="n">
        <v>0.1493</v>
      </c>
    </row>
    <row r="397">
      <c r="B397" t="n">
        <v>0.19255</v>
      </c>
      <c r="C397" t="n">
        <v>0.17946</v>
      </c>
    </row>
    <row r="398">
      <c r="B398" t="n">
        <v>0.169</v>
      </c>
      <c r="C398" t="n">
        <v>0.16854</v>
      </c>
    </row>
    <row r="399">
      <c r="B399" t="n">
        <v>0.18069</v>
      </c>
      <c r="C399" t="n">
        <v>0.15301</v>
      </c>
    </row>
    <row r="400">
      <c r="B400" t="n">
        <v>0.17224</v>
      </c>
      <c r="C400" t="n">
        <v>0.14794</v>
      </c>
    </row>
    <row r="401">
      <c r="B401" t="n">
        <v>0.17394</v>
      </c>
      <c r="C401" t="n">
        <v>0.15128</v>
      </c>
    </row>
    <row r="402">
      <c r="B402" t="n">
        <v>0.16581</v>
      </c>
      <c r="C402" t="n">
        <v>0.14657</v>
      </c>
    </row>
    <row r="403">
      <c r="B403" t="n">
        <v>0.16289</v>
      </c>
      <c r="C403" t="n">
        <v>0.16243</v>
      </c>
    </row>
    <row r="404">
      <c r="B404" t="n">
        <v>0.20759</v>
      </c>
      <c r="C404" t="n">
        <v>0.16383</v>
      </c>
    </row>
    <row r="405">
      <c r="B405" t="n">
        <v>0.17016</v>
      </c>
      <c r="C405" t="n">
        <v>0.1488</v>
      </c>
    </row>
    <row r="406">
      <c r="B406" t="n">
        <v>0.1743</v>
      </c>
      <c r="C406" t="n">
        <v>0.15126</v>
      </c>
    </row>
    <row r="407">
      <c r="B407" t="n">
        <v>0.18966</v>
      </c>
      <c r="C407" t="n">
        <v>0.18044</v>
      </c>
    </row>
    <row r="408">
      <c r="B408" t="n">
        <v>0.16565</v>
      </c>
      <c r="C408" t="n">
        <v>0.14048</v>
      </c>
    </row>
    <row r="409">
      <c r="B409" t="n">
        <v>0.17685</v>
      </c>
      <c r="C409" t="n">
        <v>0.17458</v>
      </c>
    </row>
    <row r="410">
      <c r="B410" t="n">
        <v>0.22082</v>
      </c>
      <c r="C410" t="n">
        <v>0.16558</v>
      </c>
    </row>
    <row r="411">
      <c r="B411" t="n">
        <v>0.16654</v>
      </c>
      <c r="C411" t="n">
        <v>0.16061</v>
      </c>
    </row>
    <row r="412">
      <c r="B412" t="n">
        <v>0.22339</v>
      </c>
      <c r="C412" t="n">
        <v>0.19784</v>
      </c>
    </row>
    <row r="413">
      <c r="B413" t="n">
        <v>0.18385</v>
      </c>
      <c r="C413" t="n">
        <v>0.16382</v>
      </c>
    </row>
    <row r="414">
      <c r="B414" t="n">
        <v>0.18836</v>
      </c>
      <c r="C414" t="n">
        <v>0.1689</v>
      </c>
    </row>
    <row r="415">
      <c r="B415" t="n">
        <v>0.19125</v>
      </c>
      <c r="C415" t="n">
        <v>0.15992</v>
      </c>
    </row>
    <row r="416">
      <c r="B416" t="n">
        <v>0.16308</v>
      </c>
      <c r="C416" t="n">
        <v>0.15443</v>
      </c>
    </row>
    <row r="417">
      <c r="B417" t="n">
        <v>0.15564</v>
      </c>
      <c r="C417" t="n">
        <v>0.13348</v>
      </c>
    </row>
    <row r="418">
      <c r="B418" t="n">
        <v>0.18106</v>
      </c>
      <c r="C418" t="n">
        <v>0.15822</v>
      </c>
    </row>
    <row r="419">
      <c r="B419" t="n">
        <v>0.17769</v>
      </c>
      <c r="C419" t="n">
        <v>0.17055</v>
      </c>
    </row>
    <row r="420">
      <c r="B420" t="n">
        <v>0.17699</v>
      </c>
      <c r="C420" t="n">
        <v>0.16559</v>
      </c>
    </row>
    <row r="421">
      <c r="B421" t="n">
        <v>0.19485</v>
      </c>
      <c r="C421" t="n">
        <v>0.18003</v>
      </c>
    </row>
    <row r="422">
      <c r="B422" t="n">
        <v>0.18976</v>
      </c>
      <c r="C422" t="n">
        <v>0.15767</v>
      </c>
    </row>
    <row r="423">
      <c r="B423" t="n">
        <v>0.16091</v>
      </c>
      <c r="C423" t="n">
        <v>0.13697</v>
      </c>
    </row>
    <row r="424">
      <c r="B424" t="n">
        <v>0.18314</v>
      </c>
      <c r="C424" t="n">
        <v>0.17514</v>
      </c>
    </row>
    <row r="425">
      <c r="B425" t="n">
        <v>0.17963</v>
      </c>
      <c r="C425" t="n">
        <v>0.16124</v>
      </c>
    </row>
    <row r="426">
      <c r="B426" t="n">
        <v>0.17083</v>
      </c>
      <c r="C426" t="n">
        <v>0.16979</v>
      </c>
    </row>
    <row r="427">
      <c r="B427" t="n">
        <v>0.19454</v>
      </c>
      <c r="C427" t="n">
        <v>0.18478</v>
      </c>
    </row>
    <row r="428">
      <c r="B428" t="n">
        <v>0.21776</v>
      </c>
      <c r="C428" t="n">
        <v>0.16691</v>
      </c>
    </row>
    <row r="429">
      <c r="B429" t="n">
        <v>0.17224</v>
      </c>
      <c r="C429" t="n">
        <v>0.14573</v>
      </c>
    </row>
    <row r="430">
      <c r="B430" t="n">
        <v>0.16321</v>
      </c>
      <c r="C430" t="n">
        <v>0.16361</v>
      </c>
    </row>
    <row r="431">
      <c r="B431" t="n">
        <v>0.1667</v>
      </c>
      <c r="C431" t="n">
        <v>0.14824</v>
      </c>
    </row>
    <row r="432">
      <c r="B432" t="n">
        <v>0.17079</v>
      </c>
      <c r="C432" t="n">
        <v>0.16444</v>
      </c>
    </row>
    <row r="433">
      <c r="B433" t="n">
        <v>0.19596</v>
      </c>
      <c r="C433" t="n">
        <v>0.17925</v>
      </c>
    </row>
    <row r="434">
      <c r="B434" t="n">
        <v>0.17589</v>
      </c>
      <c r="C434" t="n">
        <v>0.16216</v>
      </c>
    </row>
    <row r="435">
      <c r="B435" t="n">
        <v>0.17379</v>
      </c>
      <c r="C435" t="n">
        <v>0.17262</v>
      </c>
    </row>
    <row r="436">
      <c r="B436" t="n">
        <v>0.16774</v>
      </c>
      <c r="C436" t="n">
        <v>0.16224</v>
      </c>
    </row>
    <row r="437">
      <c r="B437" t="n">
        <v>0.1898</v>
      </c>
      <c r="C437" t="n">
        <v>0.16017</v>
      </c>
    </row>
    <row r="438">
      <c r="B438" t="n">
        <v>0.2029</v>
      </c>
      <c r="C438" t="n">
        <v>0.17054</v>
      </c>
    </row>
    <row r="439">
      <c r="B439" t="n">
        <v>0.17554</v>
      </c>
      <c r="C439" t="n">
        <v>0.17175</v>
      </c>
    </row>
    <row r="440">
      <c r="B440" t="n">
        <v>0.18458</v>
      </c>
      <c r="C440" t="n">
        <v>0.17487</v>
      </c>
    </row>
    <row r="441">
      <c r="B441" t="n">
        <v>0.16766</v>
      </c>
      <c r="C441" t="n">
        <v>0.16007</v>
      </c>
    </row>
    <row r="442">
      <c r="B442" t="n">
        <v>0.18403</v>
      </c>
      <c r="C442" t="n">
        <v>0.17007</v>
      </c>
    </row>
    <row r="443">
      <c r="B443" t="n">
        <v>0.2153</v>
      </c>
      <c r="C443" t="n">
        <v>0.19518</v>
      </c>
    </row>
    <row r="444">
      <c r="B444" t="n">
        <v>0.15286</v>
      </c>
      <c r="C444" t="n">
        <v>0.14113</v>
      </c>
    </row>
    <row r="445">
      <c r="B445" t="n">
        <v>0.21502</v>
      </c>
      <c r="C445" t="n">
        <v>0.15345</v>
      </c>
    </row>
    <row r="446">
      <c r="B446" t="n">
        <v>0.17089</v>
      </c>
      <c r="C446" t="n">
        <v>0.15282</v>
      </c>
    </row>
    <row r="447">
      <c r="B447" t="n">
        <v>0.17038</v>
      </c>
      <c r="C447" t="n">
        <v>0.14753</v>
      </c>
    </row>
    <row r="448">
      <c r="B448" t="n">
        <v>0.1878</v>
      </c>
      <c r="C448" t="n">
        <v>0.16727</v>
      </c>
    </row>
    <row r="449">
      <c r="B449" t="n">
        <v>0.16459</v>
      </c>
      <c r="C449" t="n">
        <v>0.15991</v>
      </c>
    </row>
    <row r="450">
      <c r="B450" t="n">
        <v>0.18977</v>
      </c>
      <c r="C450" t="n">
        <v>0.16579</v>
      </c>
    </row>
    <row r="451">
      <c r="B451" t="n">
        <v>0.20776</v>
      </c>
      <c r="C451" t="n">
        <v>0.191</v>
      </c>
    </row>
    <row r="452">
      <c r="B452" t="n">
        <v>0.18605</v>
      </c>
      <c r="C452" t="n">
        <v>0.16235</v>
      </c>
    </row>
    <row r="453">
      <c r="B453" t="n">
        <v>0.15812</v>
      </c>
      <c r="C453" t="n">
        <v>0.14198</v>
      </c>
    </row>
    <row r="454">
      <c r="B454" t="n">
        <v>0.19946</v>
      </c>
      <c r="C454" t="n">
        <v>0.1871</v>
      </c>
    </row>
    <row r="455">
      <c r="B455" t="n">
        <v>0.19442</v>
      </c>
      <c r="C455" t="n">
        <v>0.18263</v>
      </c>
    </row>
    <row r="456">
      <c r="B456" t="n">
        <v>0.19681</v>
      </c>
      <c r="C456" t="n">
        <v>0.15653</v>
      </c>
    </row>
    <row r="457">
      <c r="B457" t="n">
        <v>0.18153</v>
      </c>
      <c r="C457" t="n">
        <v>0.15957</v>
      </c>
    </row>
    <row r="458">
      <c r="B458" t="n">
        <v>0.16581</v>
      </c>
      <c r="C458" t="n">
        <v>0.15039</v>
      </c>
    </row>
    <row r="459">
      <c r="B459" t="n">
        <v>0.16204</v>
      </c>
      <c r="C459" t="n">
        <v>0.14061</v>
      </c>
    </row>
    <row r="460">
      <c r="B460" t="n">
        <v>0.17736</v>
      </c>
      <c r="C460" t="n">
        <v>0.16987</v>
      </c>
    </row>
    <row r="461">
      <c r="B461" t="n">
        <v>0.1735</v>
      </c>
      <c r="C461" t="n">
        <v>0.16805</v>
      </c>
    </row>
    <row r="462">
      <c r="B462" t="n">
        <v>0.19888</v>
      </c>
      <c r="C462" t="n">
        <v>0.18203</v>
      </c>
    </row>
    <row r="463">
      <c r="B463" t="n">
        <v>0.1603</v>
      </c>
      <c r="C463" t="n">
        <v>0.1391</v>
      </c>
    </row>
    <row r="464">
      <c r="B464" t="n">
        <v>0.16174</v>
      </c>
      <c r="C464" t="n">
        <v>0.15931</v>
      </c>
    </row>
    <row r="465">
      <c r="B465" t="n">
        <v>0.18423</v>
      </c>
      <c r="C465" t="n">
        <v>0.17095</v>
      </c>
    </row>
    <row r="466">
      <c r="B466" t="n">
        <v>0.18539</v>
      </c>
      <c r="C466" t="n">
        <v>0.17691</v>
      </c>
    </row>
    <row r="467">
      <c r="B467" t="n">
        <v>0.20477</v>
      </c>
      <c r="C467" t="n">
        <v>0.16044</v>
      </c>
    </row>
    <row r="468">
      <c r="B468" t="n">
        <v>0.18461</v>
      </c>
      <c r="C468" t="n">
        <v>0.1766</v>
      </c>
    </row>
    <row r="469">
      <c r="B469" t="n">
        <v>0.17054</v>
      </c>
      <c r="C469" t="n">
        <v>0.16273</v>
      </c>
    </row>
    <row r="470">
      <c r="B470" t="n">
        <v>0.16608</v>
      </c>
      <c r="C470" t="n">
        <v>0.15031</v>
      </c>
    </row>
    <row r="471">
      <c r="B471" t="n">
        <v>0.17103</v>
      </c>
      <c r="C471" t="n">
        <v>0.14862</v>
      </c>
    </row>
    <row r="472">
      <c r="B472" t="n">
        <v>0.1545</v>
      </c>
      <c r="C472" t="n">
        <v>0.14136</v>
      </c>
    </row>
    <row r="473">
      <c r="B473" t="n">
        <v>0.20315</v>
      </c>
      <c r="C473" t="n">
        <v>0.18595</v>
      </c>
    </row>
    <row r="474">
      <c r="B474" t="n">
        <v>0.20417</v>
      </c>
      <c r="C474" t="n">
        <v>0.15982</v>
      </c>
    </row>
    <row r="475">
      <c r="B475" t="n">
        <v>0.16744</v>
      </c>
      <c r="C475" t="n">
        <v>0.15953</v>
      </c>
    </row>
    <row r="476">
      <c r="B476" t="n">
        <v>0.18905</v>
      </c>
      <c r="C476" t="n">
        <v>0.17114</v>
      </c>
    </row>
    <row r="477">
      <c r="B477" t="n">
        <v>0.19273</v>
      </c>
      <c r="C477" t="n">
        <v>0.16908</v>
      </c>
    </row>
    <row r="478">
      <c r="B478" t="n">
        <v>0.17877</v>
      </c>
      <c r="C478" t="n">
        <v>0.15442</v>
      </c>
    </row>
    <row r="479">
      <c r="B479" t="n">
        <v>0.15563</v>
      </c>
      <c r="C479" t="n">
        <v>0.14463</v>
      </c>
    </row>
    <row r="480">
      <c r="B480" t="n">
        <v>0.19524</v>
      </c>
      <c r="C480" t="n">
        <v>0.18481</v>
      </c>
    </row>
    <row r="481">
      <c r="B481" t="n">
        <v>0.15769</v>
      </c>
      <c r="C481" t="n">
        <v>0.15841</v>
      </c>
    </row>
    <row r="482">
      <c r="B482" t="n">
        <v>0.17211</v>
      </c>
      <c r="C482" t="n">
        <v>0.15459</v>
      </c>
    </row>
    <row r="483">
      <c r="B483" t="n">
        <v>0.15706</v>
      </c>
      <c r="C483" t="n">
        <v>0.15829</v>
      </c>
    </row>
    <row r="484">
      <c r="B484" t="n">
        <v>0.17108</v>
      </c>
      <c r="C484" t="n">
        <v>0.16721</v>
      </c>
    </row>
    <row r="485">
      <c r="B485" t="n">
        <v>0.17169</v>
      </c>
      <c r="C485" t="n">
        <v>0.16422</v>
      </c>
    </row>
    <row r="486">
      <c r="B486" t="n">
        <v>0.17201</v>
      </c>
      <c r="C486" t="n">
        <v>0.1527</v>
      </c>
    </row>
    <row r="487">
      <c r="B487" t="n">
        <v>0.17515</v>
      </c>
      <c r="C487" t="n">
        <v>0.16842</v>
      </c>
    </row>
    <row r="488">
      <c r="B488" t="n">
        <v>0.17253</v>
      </c>
      <c r="C488" t="n">
        <v>0.1636</v>
      </c>
    </row>
    <row r="489">
      <c r="B489" t="n">
        <v>0.19604</v>
      </c>
      <c r="C489" t="n">
        <v>0.15784</v>
      </c>
    </row>
    <row r="490">
      <c r="B490" t="n">
        <v>0.19224</v>
      </c>
      <c r="C490" t="n">
        <v>0.15748</v>
      </c>
    </row>
    <row r="491">
      <c r="B491" t="n">
        <v>0.15478</v>
      </c>
      <c r="C491" t="n">
        <v>0.13366</v>
      </c>
    </row>
    <row r="492">
      <c r="B492" t="n">
        <v>0.16103</v>
      </c>
      <c r="C492" t="n">
        <v>0.14599</v>
      </c>
    </row>
    <row r="493">
      <c r="B493" t="n">
        <v>0.17491</v>
      </c>
      <c r="C493" t="n">
        <v>0.15029</v>
      </c>
    </row>
    <row r="494">
      <c r="B494" t="n">
        <v>0.18298</v>
      </c>
      <c r="C494" t="n">
        <v>0.17704</v>
      </c>
    </row>
    <row r="495">
      <c r="B495" t="n">
        <v>0.18929</v>
      </c>
      <c r="C495" t="n">
        <v>0.17529</v>
      </c>
    </row>
    <row r="496">
      <c r="B496" t="n">
        <v>0.16555</v>
      </c>
      <c r="C496" t="n">
        <v>0.14793</v>
      </c>
    </row>
    <row r="497">
      <c r="B497" t="n">
        <v>0.16352</v>
      </c>
      <c r="C497" t="n">
        <v>0.14975</v>
      </c>
    </row>
    <row r="498">
      <c r="B498" t="n">
        <v>0.1977</v>
      </c>
      <c r="C498" t="n">
        <v>0.1874</v>
      </c>
    </row>
    <row r="499">
      <c r="B499" t="n">
        <v>0.17732</v>
      </c>
      <c r="C499" t="n">
        <v>0.15041</v>
      </c>
    </row>
    <row r="500">
      <c r="B500" t="n">
        <v>0.1741</v>
      </c>
      <c r="C500" t="n">
        <v>0.1581</v>
      </c>
    </row>
    <row r="501">
      <c r="B501" t="n">
        <v>0.16949</v>
      </c>
      <c r="C501" t="n">
        <v>0.152</v>
      </c>
    </row>
    <row r="502">
      <c r="B502" t="n">
        <v>0.17734</v>
      </c>
      <c r="C502" t="n">
        <v>0.1576</v>
      </c>
    </row>
    <row r="503">
      <c r="B503" t="n">
        <v>0.20636</v>
      </c>
      <c r="C503" t="n">
        <v>0.18474</v>
      </c>
    </row>
    <row r="504">
      <c r="B504" t="n">
        <v>0.16265</v>
      </c>
      <c r="C504" t="n">
        <v>0.14929</v>
      </c>
    </row>
    <row r="505">
      <c r="B505" t="n">
        <v>0.18214</v>
      </c>
      <c r="C505" t="n">
        <v>0.16141</v>
      </c>
    </row>
    <row r="506">
      <c r="B506" t="n">
        <v>0.18611</v>
      </c>
      <c r="C506" t="n">
        <v>0.16276</v>
      </c>
    </row>
    <row r="507">
      <c r="B507" t="n">
        <v>0.19676</v>
      </c>
      <c r="C507" t="n">
        <v>0.18424</v>
      </c>
    </row>
    <row r="508">
      <c r="B508" t="n">
        <v>0.15961</v>
      </c>
      <c r="C508" t="n">
        <v>0.15857</v>
      </c>
    </row>
    <row r="509">
      <c r="B509" t="n">
        <v>0.19168</v>
      </c>
      <c r="C509" t="n">
        <v>0.16474</v>
      </c>
    </row>
    <row r="510">
      <c r="B510" t="n">
        <v>0.18928</v>
      </c>
      <c r="C510" t="n">
        <v>0.18013</v>
      </c>
    </row>
    <row r="511">
      <c r="B511" t="n">
        <v>0.15657</v>
      </c>
      <c r="C511" t="n">
        <v>0.14977</v>
      </c>
    </row>
    <row r="512">
      <c r="B512" t="n">
        <v>0.17552</v>
      </c>
      <c r="C512" t="n">
        <v>0.13967</v>
      </c>
    </row>
    <row r="513">
      <c r="B513" t="n">
        <v>0.1557</v>
      </c>
      <c r="C513" t="n">
        <v>0.14596</v>
      </c>
    </row>
    <row r="514">
      <c r="B514" t="n">
        <v>0.18537</v>
      </c>
      <c r="C514" t="n">
        <v>0.15616</v>
      </c>
    </row>
    <row r="515">
      <c r="B515" t="n">
        <v>0.19749</v>
      </c>
      <c r="C515" t="n">
        <v>0.15339</v>
      </c>
    </row>
    <row r="516">
      <c r="B516" t="n">
        <v>0.19638</v>
      </c>
      <c r="C516" t="n">
        <v>0.18337</v>
      </c>
    </row>
    <row r="517">
      <c r="B517" t="n">
        <v>0.22859</v>
      </c>
      <c r="C517" t="n">
        <v>0.19854</v>
      </c>
    </row>
    <row r="518">
      <c r="B518" t="n">
        <v>0.1744</v>
      </c>
      <c r="C518" t="n">
        <v>0.16135</v>
      </c>
    </row>
    <row r="519">
      <c r="B519" t="n">
        <v>0.16797</v>
      </c>
      <c r="C519" t="n">
        <v>0.16838</v>
      </c>
    </row>
    <row r="520">
      <c r="B520" t="n">
        <v>0.16713</v>
      </c>
      <c r="C520" t="n">
        <v>0.16441</v>
      </c>
    </row>
    <row r="521">
      <c r="B521" t="n">
        <v>0.19816</v>
      </c>
      <c r="C521" t="n">
        <v>0.17134</v>
      </c>
    </row>
    <row r="522">
      <c r="B522" t="n">
        <v>0.15952</v>
      </c>
      <c r="C522" t="n">
        <v>0.15946</v>
      </c>
    </row>
    <row r="523">
      <c r="B523" t="n">
        <v>0.20575</v>
      </c>
      <c r="C523" t="n">
        <v>0.15717</v>
      </c>
    </row>
    <row r="524">
      <c r="B524" t="n">
        <v>0.20278</v>
      </c>
      <c r="C524" t="n">
        <v>0.18432</v>
      </c>
    </row>
    <row r="525">
      <c r="B525" t="n">
        <v>0.18907</v>
      </c>
      <c r="C525" t="n">
        <v>0.15775</v>
      </c>
    </row>
    <row r="526">
      <c r="B526" t="n">
        <v>0.17397</v>
      </c>
      <c r="C526" t="n">
        <v>0.16569</v>
      </c>
    </row>
    <row r="527">
      <c r="B527" t="n">
        <v>0.18689</v>
      </c>
      <c r="C527" t="n">
        <v>0.17906</v>
      </c>
    </row>
    <row r="528">
      <c r="B528" t="n">
        <v>0.17757</v>
      </c>
      <c r="C528" t="n">
        <v>0.1488</v>
      </c>
    </row>
    <row r="529">
      <c r="B529" t="n">
        <v>0.19139</v>
      </c>
      <c r="C529" t="n">
        <v>0.18181</v>
      </c>
    </row>
    <row r="530">
      <c r="B530" t="n">
        <v>0.20038</v>
      </c>
      <c r="C530" t="n">
        <v>0.18572</v>
      </c>
    </row>
    <row r="531">
      <c r="B531" t="n">
        <v>0.20558</v>
      </c>
      <c r="C531" t="n">
        <v>0.15735</v>
      </c>
    </row>
    <row r="532">
      <c r="B532" t="n">
        <v>0.17392</v>
      </c>
      <c r="C532" t="n">
        <v>0.17041</v>
      </c>
    </row>
    <row r="533">
      <c r="B533" t="n">
        <v>0.20249</v>
      </c>
      <c r="C533" t="n">
        <v>0.1522</v>
      </c>
    </row>
    <row r="534">
      <c r="B534" t="n">
        <v>0.23763</v>
      </c>
      <c r="C534" t="n">
        <v>0.20369</v>
      </c>
    </row>
    <row r="535">
      <c r="B535" t="n">
        <v>0.1752</v>
      </c>
      <c r="C535" t="n">
        <v>0.15856</v>
      </c>
    </row>
    <row r="536">
      <c r="B536" t="n">
        <v>0.25136</v>
      </c>
      <c r="C536" t="n">
        <v>0.20688</v>
      </c>
    </row>
    <row r="537">
      <c r="B537" t="n">
        <v>0.16137</v>
      </c>
      <c r="C537" t="n">
        <v>0.14694</v>
      </c>
    </row>
    <row r="538">
      <c r="B538" t="n">
        <v>0.17106</v>
      </c>
      <c r="C538" t="n">
        <v>0.15618</v>
      </c>
    </row>
    <row r="539">
      <c r="B539" t="n">
        <v>0.19963</v>
      </c>
      <c r="C539" t="n">
        <v>0.15288</v>
      </c>
    </row>
    <row r="540">
      <c r="B540" t="n">
        <v>0.19489</v>
      </c>
      <c r="C540" t="n">
        <v>0.16571</v>
      </c>
    </row>
    <row r="541">
      <c r="B541" t="n">
        <v>0.19832</v>
      </c>
      <c r="C541" t="n">
        <v>0.14982</v>
      </c>
    </row>
    <row r="542">
      <c r="B542" t="n">
        <v>0.18067</v>
      </c>
      <c r="C542" t="n">
        <v>0.1569</v>
      </c>
    </row>
    <row r="543">
      <c r="B543" t="n">
        <v>0.1534</v>
      </c>
      <c r="C543" t="n">
        <v>0.13817</v>
      </c>
    </row>
    <row r="544">
      <c r="B544" t="n">
        <v>0.23376</v>
      </c>
      <c r="C544" t="n">
        <v>0.1609</v>
      </c>
    </row>
    <row r="545">
      <c r="B545" t="n">
        <v>0.1701</v>
      </c>
      <c r="C545" t="n">
        <v>0.16718</v>
      </c>
    </row>
    <row r="546">
      <c r="B546" t="n">
        <v>0.16622</v>
      </c>
      <c r="C546" t="n">
        <v>0.16385</v>
      </c>
    </row>
    <row r="547">
      <c r="B547" t="n">
        <v>0.16159</v>
      </c>
      <c r="C547" t="n">
        <v>0.13946</v>
      </c>
    </row>
    <row r="548">
      <c r="B548" t="n">
        <v>0.18246</v>
      </c>
      <c r="C548" t="n">
        <v>0.14834</v>
      </c>
    </row>
    <row r="549">
      <c r="B549" t="n">
        <v>0.18118</v>
      </c>
      <c r="C549" t="n">
        <v>0.17095</v>
      </c>
    </row>
    <row r="550">
      <c r="B550" t="n">
        <v>0.20266</v>
      </c>
      <c r="C550" t="n">
        <v>0.1527</v>
      </c>
    </row>
    <row r="551">
      <c r="B551" t="n">
        <v>0.19269</v>
      </c>
      <c r="C551" t="n">
        <v>0.16775</v>
      </c>
    </row>
    <row r="552">
      <c r="B552" t="n">
        <v>0.20622</v>
      </c>
      <c r="C552" t="n">
        <v>0.16124</v>
      </c>
    </row>
    <row r="553">
      <c r="B553" t="n">
        <v>0.20338</v>
      </c>
      <c r="C553" t="n">
        <v>0.18917</v>
      </c>
    </row>
    <row r="554">
      <c r="B554" t="n">
        <v>0.21079</v>
      </c>
      <c r="C554" t="n">
        <v>0.17915</v>
      </c>
    </row>
    <row r="555">
      <c r="B555" t="n">
        <v>0.1679</v>
      </c>
      <c r="C555" t="n">
        <v>0.14496</v>
      </c>
    </row>
    <row r="556">
      <c r="B556" t="n">
        <v>0.19811</v>
      </c>
      <c r="C556" t="n">
        <v>0.1556</v>
      </c>
    </row>
    <row r="557">
      <c r="B557" t="n">
        <v>0.19226</v>
      </c>
      <c r="C557" t="n">
        <v>0.17873</v>
      </c>
    </row>
    <row r="558">
      <c r="B558" t="n">
        <v>0.1959</v>
      </c>
      <c r="C558" t="n">
        <v>0.14774</v>
      </c>
    </row>
    <row r="559">
      <c r="B559" t="n">
        <v>0.17573</v>
      </c>
      <c r="C559" t="n">
        <v>0.1744</v>
      </c>
    </row>
    <row r="560">
      <c r="B560" t="n">
        <v>0.19278</v>
      </c>
      <c r="C560" t="n">
        <v>0.16472</v>
      </c>
    </row>
    <row r="561">
      <c r="B561" t="n">
        <v>0.17246</v>
      </c>
      <c r="C561" t="n">
        <v>0.16525</v>
      </c>
    </row>
    <row r="562">
      <c r="B562" t="n">
        <v>0.20325</v>
      </c>
      <c r="C562" t="n">
        <v>0.151</v>
      </c>
    </row>
    <row r="563">
      <c r="B563" t="n">
        <v>0.18269</v>
      </c>
      <c r="C563" t="n">
        <v>0.17817</v>
      </c>
    </row>
    <row r="564">
      <c r="B564" t="n">
        <v>0.15883</v>
      </c>
      <c r="C564" t="n">
        <v>0.16137</v>
      </c>
    </row>
    <row r="565">
      <c r="B565" t="n">
        <v>0.17593</v>
      </c>
      <c r="C565" t="n">
        <v>0.16674</v>
      </c>
    </row>
    <row r="566">
      <c r="B566" t="n">
        <v>0.19947</v>
      </c>
      <c r="C566" t="n">
        <v>0.17539</v>
      </c>
    </row>
    <row r="567">
      <c r="B567" t="n">
        <v>0.19344</v>
      </c>
      <c r="C567" t="n">
        <v>0.18382</v>
      </c>
    </row>
    <row r="568">
      <c r="B568" t="n">
        <v>0.18072</v>
      </c>
      <c r="C568" t="n">
        <v>0.16004</v>
      </c>
    </row>
    <row r="569">
      <c r="B569" t="n">
        <v>0.15635</v>
      </c>
      <c r="C569" t="n">
        <v>0.15535</v>
      </c>
    </row>
    <row r="570">
      <c r="B570" t="n">
        <v>0.16626</v>
      </c>
      <c r="C570" t="n">
        <v>0.16154</v>
      </c>
    </row>
    <row r="571">
      <c r="B571" t="n">
        <v>0.19299</v>
      </c>
      <c r="C571" t="n">
        <v>0.15784</v>
      </c>
    </row>
    <row r="572">
      <c r="B572" t="n">
        <v>0.17615</v>
      </c>
      <c r="C572" t="n">
        <v>0.15466</v>
      </c>
    </row>
    <row r="573">
      <c r="B573" t="n">
        <v>0.16564</v>
      </c>
      <c r="C573" t="n">
        <v>0.14646</v>
      </c>
    </row>
    <row r="574">
      <c r="B574" t="n">
        <v>0.17117</v>
      </c>
      <c r="C574" t="n">
        <v>0.16325</v>
      </c>
    </row>
    <row r="575">
      <c r="B575" t="n">
        <v>0.20311</v>
      </c>
      <c r="C575" t="n">
        <v>0.17604</v>
      </c>
    </row>
    <row r="576">
      <c r="B576" t="n">
        <v>0.18193</v>
      </c>
      <c r="C576" t="n">
        <v>0.17677</v>
      </c>
    </row>
    <row r="577">
      <c r="B577" t="n">
        <v>0.21117</v>
      </c>
      <c r="C577" t="n">
        <v>0.18707</v>
      </c>
    </row>
    <row r="578">
      <c r="B578" t="n">
        <v>0.18944</v>
      </c>
      <c r="C578" t="n">
        <v>0.15127</v>
      </c>
    </row>
    <row r="579">
      <c r="B579" t="n">
        <v>0.19928</v>
      </c>
      <c r="C579" t="n">
        <v>0.18855</v>
      </c>
    </row>
    <row r="580">
      <c r="B580" t="n">
        <v>0.18121</v>
      </c>
      <c r="C580" t="n">
        <v>0.15199</v>
      </c>
    </row>
    <row r="581">
      <c r="B581" t="n">
        <v>0.15462</v>
      </c>
      <c r="C581" t="n">
        <v>0.14497</v>
      </c>
    </row>
    <row r="582">
      <c r="B582" t="n">
        <v>0.2205</v>
      </c>
      <c r="C582" t="n">
        <v>0.16401</v>
      </c>
    </row>
    <row r="583">
      <c r="B583" t="n">
        <v>0.18074</v>
      </c>
      <c r="C583" t="n">
        <v>0.15925</v>
      </c>
    </row>
    <row r="584">
      <c r="B584" t="n">
        <v>0.1885</v>
      </c>
      <c r="C584" t="n">
        <v>0.15755</v>
      </c>
    </row>
    <row r="585">
      <c r="B585" t="n">
        <v>0.1729</v>
      </c>
      <c r="C585" t="n">
        <v>0.16309</v>
      </c>
    </row>
    <row r="586">
      <c r="B586" t="n">
        <v>0.15337</v>
      </c>
      <c r="C586" t="n">
        <v>0.1484</v>
      </c>
    </row>
    <row r="587">
      <c r="B587" t="n">
        <v>0.19146</v>
      </c>
      <c r="C587" t="n">
        <v>0.18188</v>
      </c>
    </row>
    <row r="588">
      <c r="B588" t="n">
        <v>0.17769</v>
      </c>
      <c r="C588" t="n">
        <v>0.16889</v>
      </c>
    </row>
    <row r="589">
      <c r="B589" t="n">
        <v>0.15548</v>
      </c>
      <c r="C589" t="n">
        <v>0.14692</v>
      </c>
    </row>
    <row r="590">
      <c r="B590" t="n">
        <v>0.18364</v>
      </c>
      <c r="C590" t="n">
        <v>0.17276</v>
      </c>
    </row>
    <row r="591">
      <c r="B591" t="n">
        <v>0.18999</v>
      </c>
      <c r="C591" t="n">
        <v>0.15473</v>
      </c>
    </row>
    <row r="592">
      <c r="B592" t="n">
        <v>0.17841</v>
      </c>
      <c r="C592" t="n">
        <v>0.16204</v>
      </c>
    </row>
    <row r="593">
      <c r="B593" t="n">
        <v>0.15251</v>
      </c>
      <c r="C593" t="n">
        <v>0.14344</v>
      </c>
    </row>
    <row r="594">
      <c r="B594" t="n">
        <v>0.20014</v>
      </c>
      <c r="C594" t="n">
        <v>0.18893</v>
      </c>
    </row>
    <row r="595">
      <c r="B595" t="n">
        <v>0.18212</v>
      </c>
      <c r="C595" t="n">
        <v>0.17305</v>
      </c>
    </row>
    <row r="596">
      <c r="B596" t="n">
        <v>0.21492</v>
      </c>
      <c r="C596" t="n">
        <v>0.19292</v>
      </c>
    </row>
    <row r="597">
      <c r="B597" t="n">
        <v>0.16367</v>
      </c>
      <c r="C597" t="n">
        <v>0.15081</v>
      </c>
    </row>
    <row r="598">
      <c r="B598" t="n">
        <v>0.19003</v>
      </c>
      <c r="C598" t="n">
        <v>0.17773</v>
      </c>
    </row>
    <row r="599">
      <c r="B599" t="n">
        <v>0.1712</v>
      </c>
      <c r="C599" t="n">
        <v>0.16958</v>
      </c>
    </row>
    <row r="600">
      <c r="B600" t="n">
        <v>0.18339</v>
      </c>
      <c r="C600" t="n">
        <v>0.17747</v>
      </c>
    </row>
    <row r="601">
      <c r="B601" t="n">
        <v>0.1838</v>
      </c>
      <c r="C601" t="n">
        <v>0.15781</v>
      </c>
    </row>
    <row r="602">
      <c r="B602" t="n">
        <v>0.17318</v>
      </c>
      <c r="C602" t="n">
        <v>0.16416</v>
      </c>
    </row>
    <row r="603">
      <c r="B603" t="n">
        <v>0.16791</v>
      </c>
      <c r="C603" t="n">
        <v>0.14948</v>
      </c>
    </row>
    <row r="604">
      <c r="B604" t="n">
        <v>0.17652</v>
      </c>
      <c r="C604" t="n">
        <v>0.16638</v>
      </c>
    </row>
    <row r="605">
      <c r="B605" t="n">
        <v>0.17546</v>
      </c>
      <c r="C605" t="n">
        <v>0.15478</v>
      </c>
    </row>
    <row r="606">
      <c r="B606" t="n">
        <v>0.21216</v>
      </c>
      <c r="C606" t="n">
        <v>0.16017</v>
      </c>
    </row>
    <row r="607">
      <c r="B607" t="n">
        <v>0.19263</v>
      </c>
      <c r="C607" t="n">
        <v>0.15765</v>
      </c>
    </row>
    <row r="608">
      <c r="B608" t="n">
        <v>0.17461</v>
      </c>
      <c r="C608" t="n">
        <v>0.15486</v>
      </c>
    </row>
    <row r="609">
      <c r="B609" t="n">
        <v>0.18432</v>
      </c>
      <c r="C609" t="n">
        <v>0.1742</v>
      </c>
    </row>
    <row r="610">
      <c r="B610" t="n">
        <v>0.22867</v>
      </c>
      <c r="C610" t="n">
        <v>0.1598</v>
      </c>
    </row>
    <row r="611">
      <c r="B611" t="n">
        <v>0.17572</v>
      </c>
      <c r="C611" t="n">
        <v>0.165</v>
      </c>
    </row>
    <row r="612">
      <c r="B612" t="n">
        <v>0.19188</v>
      </c>
      <c r="C612" t="n">
        <v>0.16621</v>
      </c>
    </row>
    <row r="613">
      <c r="B613" t="n">
        <v>0.2019</v>
      </c>
      <c r="C613" t="n">
        <v>0.15859</v>
      </c>
    </row>
    <row r="614">
      <c r="B614" t="n">
        <v>0.19309</v>
      </c>
      <c r="C614" t="n">
        <v>0.15195</v>
      </c>
    </row>
    <row r="615">
      <c r="B615" t="n">
        <v>0.19414</v>
      </c>
      <c r="C615" t="n">
        <v>0.1642</v>
      </c>
    </row>
    <row r="616">
      <c r="B616" t="n">
        <v>0.2025</v>
      </c>
      <c r="C616" t="n">
        <v>0.16657</v>
      </c>
    </row>
    <row r="617">
      <c r="B617" t="n">
        <v>0.17112</v>
      </c>
      <c r="C617" t="n">
        <v>0.15521</v>
      </c>
    </row>
    <row r="618">
      <c r="B618" t="n">
        <v>0.17281</v>
      </c>
      <c r="C618" t="n">
        <v>0.1609</v>
      </c>
    </row>
    <row r="619">
      <c r="B619" t="n">
        <v>0.15914</v>
      </c>
      <c r="C619" t="n">
        <v>0.1363</v>
      </c>
    </row>
    <row r="620">
      <c r="B620" t="n">
        <v>0.16471</v>
      </c>
      <c r="C620" t="n">
        <v>0.14467</v>
      </c>
    </row>
    <row r="621">
      <c r="B621" t="n">
        <v>0.18861</v>
      </c>
      <c r="C621" t="n">
        <v>0.18139</v>
      </c>
    </row>
    <row r="622">
      <c r="B622" t="n">
        <v>0.2151</v>
      </c>
      <c r="C622" t="n">
        <v>0.16964</v>
      </c>
    </row>
    <row r="623">
      <c r="B623" t="n">
        <v>0.1909</v>
      </c>
      <c r="C623" t="n">
        <v>0.17225</v>
      </c>
    </row>
    <row r="624">
      <c r="B624" t="n">
        <v>0.17682</v>
      </c>
      <c r="C624" t="n">
        <v>0.16774</v>
      </c>
    </row>
    <row r="625">
      <c r="B625" t="n">
        <v>0.1942</v>
      </c>
      <c r="C625" t="n">
        <v>0.16543</v>
      </c>
    </row>
    <row r="626">
      <c r="B626" t="n">
        <v>0.21124</v>
      </c>
      <c r="C626" t="n">
        <v>0.16756</v>
      </c>
    </row>
    <row r="627">
      <c r="B627" t="n">
        <v>0.18386</v>
      </c>
      <c r="C627" t="n">
        <v>0.16982</v>
      </c>
    </row>
    <row r="628">
      <c r="B628" t="n">
        <v>0.19562</v>
      </c>
      <c r="C628" t="n">
        <v>0.16025</v>
      </c>
    </row>
    <row r="629">
      <c r="B629" t="n">
        <v>0.1845</v>
      </c>
      <c r="C629" t="n">
        <v>0.15583</v>
      </c>
    </row>
    <row r="630">
      <c r="B630" t="n">
        <v>0.18352</v>
      </c>
      <c r="C630" t="n">
        <v>0.15135</v>
      </c>
    </row>
    <row r="631">
      <c r="B631" t="n">
        <v>0.16209</v>
      </c>
      <c r="C631" t="n">
        <v>0.15977</v>
      </c>
    </row>
    <row r="632">
      <c r="B632" t="n">
        <v>0.17589</v>
      </c>
      <c r="C632" t="n">
        <v>0.16779</v>
      </c>
    </row>
    <row r="633">
      <c r="B633" t="n">
        <v>0.1575</v>
      </c>
      <c r="C633" t="n">
        <v>0.15136</v>
      </c>
    </row>
    <row r="634">
      <c r="B634" t="n">
        <v>0.17423</v>
      </c>
      <c r="C634" t="n">
        <v>0.15942</v>
      </c>
    </row>
    <row r="635">
      <c r="B635" t="n">
        <v>0.18138</v>
      </c>
      <c r="C635" t="n">
        <v>0.17369</v>
      </c>
    </row>
    <row r="636">
      <c r="B636" t="n">
        <v>0.1618</v>
      </c>
      <c r="C636" t="n">
        <v>0.15606</v>
      </c>
    </row>
    <row r="637">
      <c r="B637" t="n">
        <v>0.16747</v>
      </c>
      <c r="C637" t="n">
        <v>0.16144</v>
      </c>
    </row>
    <row r="638">
      <c r="B638" t="n">
        <v>0.1924</v>
      </c>
      <c r="C638" t="n">
        <v>0.15125</v>
      </c>
    </row>
    <row r="639">
      <c r="B639" t="n">
        <v>0.19609</v>
      </c>
      <c r="C639" t="n">
        <v>0.16298</v>
      </c>
    </row>
    <row r="640">
      <c r="B640" t="n">
        <v>0.19933</v>
      </c>
      <c r="C640" t="n">
        <v>0.17809</v>
      </c>
    </row>
    <row r="641">
      <c r="B641" t="n">
        <v>0.17075</v>
      </c>
      <c r="C641" t="n">
        <v>0.161</v>
      </c>
    </row>
    <row r="642">
      <c r="B642" t="n">
        <v>0.18615</v>
      </c>
      <c r="C642" t="n">
        <v>0.17357</v>
      </c>
    </row>
    <row r="643">
      <c r="B643" t="n">
        <v>0.20942</v>
      </c>
      <c r="C643" t="n">
        <v>0.16316</v>
      </c>
    </row>
    <row r="644">
      <c r="B644" t="n">
        <v>0.21666</v>
      </c>
      <c r="C644" t="n">
        <v>0.15998</v>
      </c>
    </row>
    <row r="645">
      <c r="B645" t="n">
        <v>0.18562</v>
      </c>
      <c r="C645" t="n">
        <v>0.15615</v>
      </c>
    </row>
    <row r="646">
      <c r="B646" t="n">
        <v>0.1967</v>
      </c>
      <c r="C646" t="n">
        <v>0.16487</v>
      </c>
    </row>
    <row r="647">
      <c r="B647" t="n">
        <v>0.16214</v>
      </c>
      <c r="C647" t="n">
        <v>0.14655</v>
      </c>
    </row>
    <row r="648">
      <c r="B648" t="n">
        <v>0.16833</v>
      </c>
      <c r="C648" t="n">
        <v>0.14596</v>
      </c>
    </row>
    <row r="649">
      <c r="B649" t="n">
        <v>0.18569</v>
      </c>
      <c r="C649" t="n">
        <v>0.17508</v>
      </c>
    </row>
    <row r="650">
      <c r="B650" t="n">
        <v>0.15985</v>
      </c>
      <c r="C650" t="n">
        <v>0.14292</v>
      </c>
    </row>
    <row r="651">
      <c r="B651" t="n">
        <v>0.16618</v>
      </c>
      <c r="C651" t="n">
        <v>0.14607</v>
      </c>
    </row>
    <row r="652">
      <c r="B652" t="n">
        <v>0.17053</v>
      </c>
      <c r="C652" t="n">
        <v>0.16955</v>
      </c>
    </row>
    <row r="653">
      <c r="B653" t="n">
        <v>0.19871</v>
      </c>
      <c r="C653" t="n">
        <v>0.16273</v>
      </c>
    </row>
    <row r="654">
      <c r="B654" t="n">
        <v>0.18694</v>
      </c>
      <c r="C654" t="n">
        <v>0.16619</v>
      </c>
    </row>
    <row r="655">
      <c r="B655" t="n">
        <v>0.17226</v>
      </c>
      <c r="C655" t="n">
        <v>0.16597</v>
      </c>
    </row>
    <row r="656">
      <c r="B656" t="n">
        <v>0.18303</v>
      </c>
      <c r="C656" t="n">
        <v>0.16849</v>
      </c>
    </row>
    <row r="657">
      <c r="B657" t="n">
        <v>0.17589</v>
      </c>
      <c r="C657" t="n">
        <v>0.17214</v>
      </c>
    </row>
    <row r="658">
      <c r="B658" t="n">
        <v>0.17139</v>
      </c>
      <c r="C658" t="n">
        <v>0.1527</v>
      </c>
    </row>
    <row r="659">
      <c r="B659" t="n">
        <v>0.19222</v>
      </c>
      <c r="C659" t="n">
        <v>0.15341</v>
      </c>
    </row>
    <row r="660">
      <c r="B660" t="n">
        <v>0.18078</v>
      </c>
      <c r="C660" t="n">
        <v>0.14629</v>
      </c>
    </row>
    <row r="661">
      <c r="B661" t="n">
        <v>0.15365</v>
      </c>
      <c r="C661" t="n">
        <v>0.14012</v>
      </c>
    </row>
    <row r="662">
      <c r="B662" t="n">
        <v>0.17655</v>
      </c>
      <c r="C662" t="n">
        <v>0.16546</v>
      </c>
    </row>
    <row r="663">
      <c r="B663" t="n">
        <v>0.21736</v>
      </c>
      <c r="C663" t="n">
        <v>0.19331</v>
      </c>
    </row>
    <row r="664">
      <c r="B664" t="n">
        <v>0.20255</v>
      </c>
      <c r="C664" t="n">
        <v>0.15568</v>
      </c>
    </row>
    <row r="665">
      <c r="B665" t="n">
        <v>0.17416</v>
      </c>
      <c r="C665" t="n">
        <v>0.16956</v>
      </c>
    </row>
    <row r="666">
      <c r="B666" t="n">
        <v>0.19823</v>
      </c>
      <c r="C666" t="n">
        <v>0.15979</v>
      </c>
    </row>
    <row r="667">
      <c r="B667" t="n">
        <v>0.17491</v>
      </c>
      <c r="C667" t="n">
        <v>0.17003</v>
      </c>
    </row>
    <row r="668">
      <c r="B668" t="n">
        <v>0.16802</v>
      </c>
      <c r="C668" t="n">
        <v>0.16111</v>
      </c>
    </row>
    <row r="669">
      <c r="B669" t="n">
        <v>0.15862</v>
      </c>
      <c r="C669" t="n">
        <v>0.14708</v>
      </c>
    </row>
    <row r="670">
      <c r="B670" t="n">
        <v>0.1753</v>
      </c>
      <c r="C670" t="n">
        <v>0.1512</v>
      </c>
    </row>
    <row r="671">
      <c r="B671" t="n">
        <v>0.18371</v>
      </c>
      <c r="C671" t="n">
        <v>0.1485</v>
      </c>
    </row>
    <row r="672">
      <c r="B672" t="n">
        <v>0.19002</v>
      </c>
      <c r="C672" t="n">
        <v>0.15314</v>
      </c>
    </row>
    <row r="673">
      <c r="B673" t="n">
        <v>0.17719</v>
      </c>
      <c r="C673" t="n">
        <v>0.16844</v>
      </c>
    </row>
    <row r="674">
      <c r="B674" t="n">
        <v>0.20481</v>
      </c>
      <c r="C674" t="n">
        <v>0.1635</v>
      </c>
    </row>
    <row r="675">
      <c r="B675" t="n">
        <v>0.16924</v>
      </c>
      <c r="C675" t="n">
        <v>0.16133</v>
      </c>
    </row>
    <row r="676">
      <c r="B676" t="n">
        <v>0.2025</v>
      </c>
      <c r="C676" t="n">
        <v>0.16138</v>
      </c>
    </row>
    <row r="677">
      <c r="B677" t="n">
        <v>0.17852</v>
      </c>
      <c r="C677" t="n">
        <v>0.17413</v>
      </c>
    </row>
    <row r="678">
      <c r="B678" t="n">
        <v>0.18573</v>
      </c>
      <c r="C678" t="n">
        <v>0.17241</v>
      </c>
    </row>
    <row r="679">
      <c r="B679" t="n">
        <v>0.20609</v>
      </c>
      <c r="C679" t="n">
        <v>0.15339</v>
      </c>
    </row>
    <row r="680">
      <c r="B680" t="n">
        <v>0.18152</v>
      </c>
      <c r="C680" t="n">
        <v>0.15855</v>
      </c>
    </row>
    <row r="681">
      <c r="B681" t="n">
        <v>0.18231</v>
      </c>
      <c r="C681" t="n">
        <v>0.15709</v>
      </c>
    </row>
    <row r="682">
      <c r="B682" t="n">
        <v>0.18652</v>
      </c>
      <c r="C682" t="n">
        <v>0.15866</v>
      </c>
    </row>
    <row r="683">
      <c r="B683" t="n">
        <v>0.19006</v>
      </c>
      <c r="C683" t="n">
        <v>0.18076</v>
      </c>
    </row>
    <row r="684">
      <c r="B684" t="n">
        <v>0.17374</v>
      </c>
      <c r="C684" t="n">
        <v>0.17213</v>
      </c>
    </row>
    <row r="685">
      <c r="B685" t="n">
        <v>0.20512</v>
      </c>
      <c r="C685" t="n">
        <v>0.15858</v>
      </c>
    </row>
    <row r="686">
      <c r="B686" t="n">
        <v>0.1555</v>
      </c>
      <c r="C686" t="n">
        <v>0.14533</v>
      </c>
    </row>
    <row r="687">
      <c r="B687" t="n">
        <v>0.17975</v>
      </c>
      <c r="C687" t="n">
        <v>0.14828</v>
      </c>
    </row>
    <row r="688">
      <c r="B688" t="n">
        <v>0.17126</v>
      </c>
      <c r="C688" t="n">
        <v>0.16734</v>
      </c>
    </row>
    <row r="689">
      <c r="B689" t="n">
        <v>0.20089</v>
      </c>
      <c r="C689" t="n">
        <v>0.188</v>
      </c>
    </row>
    <row r="690">
      <c r="B690" t="n">
        <v>0.15556</v>
      </c>
      <c r="C690" t="n">
        <v>0.1339</v>
      </c>
    </row>
    <row r="691">
      <c r="B691" t="n">
        <v>0.17699</v>
      </c>
      <c r="C691" t="n">
        <v>0.1723</v>
      </c>
    </row>
    <row r="692">
      <c r="B692" t="n">
        <v>0.20039</v>
      </c>
      <c r="C692" t="n">
        <v>0.18866</v>
      </c>
    </row>
    <row r="693">
      <c r="B693" t="n">
        <v>0.18535</v>
      </c>
      <c r="C693" t="n">
        <v>0.16232</v>
      </c>
    </row>
    <row r="694">
      <c r="B694" t="n">
        <v>0.19497</v>
      </c>
      <c r="C694" t="n">
        <v>0.16753</v>
      </c>
    </row>
    <row r="695">
      <c r="B695" t="n">
        <v>0.16197</v>
      </c>
      <c r="C695" t="n">
        <v>0.16078</v>
      </c>
    </row>
    <row r="696">
      <c r="B696" t="n">
        <v>0.21541</v>
      </c>
      <c r="C696" t="n">
        <v>0.16375</v>
      </c>
    </row>
    <row r="697">
      <c r="B697" t="n">
        <v>0.15705</v>
      </c>
      <c r="C697" t="n">
        <v>0.14867</v>
      </c>
    </row>
    <row r="698">
      <c r="B698" t="n">
        <v>0.17986</v>
      </c>
      <c r="C698" t="n">
        <v>0.15088</v>
      </c>
    </row>
    <row r="699">
      <c r="B699" t="n">
        <v>0.19039</v>
      </c>
      <c r="C699" t="n">
        <v>0.16372</v>
      </c>
    </row>
    <row r="700">
      <c r="B700" t="n">
        <v>0.18075</v>
      </c>
      <c r="C700" t="n">
        <v>0.17151</v>
      </c>
    </row>
    <row r="701">
      <c r="B701" t="n">
        <v>0.19736</v>
      </c>
      <c r="C701" t="n">
        <v>0.15449</v>
      </c>
    </row>
    <row r="702">
      <c r="B702" t="n">
        <v>0.1555</v>
      </c>
      <c r="C702" t="n">
        <v>0.15014</v>
      </c>
    </row>
    <row r="703">
      <c r="B703" t="n">
        <v>0.20587</v>
      </c>
      <c r="C703" t="n">
        <v>0.16074</v>
      </c>
    </row>
    <row r="704">
      <c r="B704" t="n">
        <v>0.20253</v>
      </c>
      <c r="C704" t="n">
        <v>0.15917</v>
      </c>
    </row>
    <row r="705">
      <c r="B705" t="n">
        <v>0.19495</v>
      </c>
      <c r="C705" t="n">
        <v>0.18489</v>
      </c>
    </row>
    <row r="706">
      <c r="B706" t="n">
        <v>0.1962</v>
      </c>
      <c r="C706" t="n">
        <v>0.15378</v>
      </c>
    </row>
    <row r="707">
      <c r="B707" t="n">
        <v>0.17937</v>
      </c>
      <c r="C707" t="n">
        <v>0.15292</v>
      </c>
    </row>
    <row r="708">
      <c r="B708" t="n">
        <v>0.20879</v>
      </c>
      <c r="C708" t="n">
        <v>0.15318</v>
      </c>
    </row>
    <row r="709">
      <c r="B709" t="n">
        <v>0.19818</v>
      </c>
      <c r="C709" t="n">
        <v>0.15764</v>
      </c>
    </row>
    <row r="710">
      <c r="B710" t="n">
        <v>0.192</v>
      </c>
      <c r="C710" t="n">
        <v>0.15662</v>
      </c>
    </row>
    <row r="711">
      <c r="B711" t="n">
        <v>0.15417</v>
      </c>
      <c r="C711" t="n">
        <v>0.14922</v>
      </c>
    </row>
    <row r="712">
      <c r="B712" t="n">
        <v>0.15116</v>
      </c>
      <c r="C712" t="n">
        <v>0.14533</v>
      </c>
    </row>
    <row r="713">
      <c r="B713" t="n">
        <v>0.1664</v>
      </c>
      <c r="C713" t="n">
        <v>0.16166</v>
      </c>
    </row>
    <row r="714">
      <c r="B714" t="n">
        <v>0.18539</v>
      </c>
      <c r="C714" t="n">
        <v>0.17276</v>
      </c>
    </row>
    <row r="715">
      <c r="B715" t="n">
        <v>0.19229</v>
      </c>
      <c r="C715" t="n">
        <v>0.14951</v>
      </c>
    </row>
    <row r="716">
      <c r="B716" t="n">
        <v>0.15413</v>
      </c>
      <c r="C716" t="n">
        <v>0.14501</v>
      </c>
    </row>
    <row r="717">
      <c r="B717" t="n">
        <v>0.21134</v>
      </c>
      <c r="C717" t="n">
        <v>0.1781</v>
      </c>
    </row>
    <row r="718">
      <c r="B718" t="n">
        <v>0.19143</v>
      </c>
      <c r="C718" t="n">
        <v>0.16479</v>
      </c>
    </row>
    <row r="719">
      <c r="B719" t="n">
        <v>0.16599</v>
      </c>
      <c r="C719" t="n">
        <v>0.1642</v>
      </c>
    </row>
    <row r="720">
      <c r="B720" t="n">
        <v>0.17428</v>
      </c>
      <c r="C720" t="n">
        <v>0.15786</v>
      </c>
    </row>
    <row r="721">
      <c r="B721" t="n">
        <v>0.22529</v>
      </c>
      <c r="C721" t="n">
        <v>0.19827</v>
      </c>
    </row>
    <row r="722">
      <c r="B722" t="n">
        <v>0.16449</v>
      </c>
      <c r="C722" t="n">
        <v>0.1421</v>
      </c>
    </row>
    <row r="723">
      <c r="B723" t="n">
        <v>0.17484</v>
      </c>
      <c r="C723" t="n">
        <v>0.16359</v>
      </c>
    </row>
    <row r="724">
      <c r="B724" t="n">
        <v>0.17551</v>
      </c>
      <c r="C724" t="n">
        <v>0.15386</v>
      </c>
    </row>
    <row r="725">
      <c r="B725" t="n">
        <v>0.17909</v>
      </c>
      <c r="C725" t="n">
        <v>0.17527</v>
      </c>
    </row>
    <row r="726">
      <c r="B726" t="n">
        <v>0.16698</v>
      </c>
      <c r="C726" t="n">
        <v>0.16184</v>
      </c>
    </row>
    <row r="727">
      <c r="B727" t="n">
        <v>0.18952</v>
      </c>
      <c r="C727" t="n">
        <v>0.15652</v>
      </c>
    </row>
    <row r="728">
      <c r="B728" t="n">
        <v>0.18765</v>
      </c>
      <c r="C728" t="n">
        <v>0.17986</v>
      </c>
    </row>
    <row r="729">
      <c r="B729" t="n">
        <v>0.17098</v>
      </c>
      <c r="C729" t="n">
        <v>0.16777</v>
      </c>
    </row>
    <row r="730">
      <c r="B730" t="n">
        <v>0.178</v>
      </c>
      <c r="C730" t="n">
        <v>0.16802</v>
      </c>
    </row>
    <row r="731">
      <c r="B731" t="n">
        <v>0.17179</v>
      </c>
      <c r="C731" t="n">
        <v>0.1513</v>
      </c>
    </row>
    <row r="732">
      <c r="B732" t="n">
        <v>0.16745</v>
      </c>
      <c r="C732" t="n">
        <v>0.14944</v>
      </c>
    </row>
    <row r="733">
      <c r="B733" t="n">
        <v>0.16942</v>
      </c>
      <c r="C733" t="n">
        <v>0.14859</v>
      </c>
    </row>
    <row r="734">
      <c r="B734" t="n">
        <v>0.20065</v>
      </c>
      <c r="C734" t="n">
        <v>0.18756</v>
      </c>
    </row>
    <row r="735">
      <c r="B735" t="n">
        <v>0.1905</v>
      </c>
      <c r="C735" t="n">
        <v>0.18082</v>
      </c>
    </row>
    <row r="736">
      <c r="B736" t="n">
        <v>0.20732</v>
      </c>
      <c r="C736" t="n">
        <v>0.18969</v>
      </c>
    </row>
    <row r="737">
      <c r="B737" t="n">
        <v>0.22748</v>
      </c>
      <c r="C737" t="n">
        <v>0.19896</v>
      </c>
    </row>
    <row r="738">
      <c r="B738" t="n">
        <v>0.17847</v>
      </c>
      <c r="C738" t="n">
        <v>0.16778</v>
      </c>
    </row>
    <row r="739">
      <c r="B739" t="n">
        <v>0.18961</v>
      </c>
      <c r="C739" t="n">
        <v>0.1526</v>
      </c>
    </row>
    <row r="740">
      <c r="B740" t="n">
        <v>0.20047</v>
      </c>
      <c r="C740" t="n">
        <v>0.15953</v>
      </c>
    </row>
    <row r="741">
      <c r="B741" t="n">
        <v>0.18035</v>
      </c>
      <c r="C741" t="n">
        <v>0.17335</v>
      </c>
    </row>
    <row r="742">
      <c r="B742" t="n">
        <v>0.18921</v>
      </c>
      <c r="C742" t="n">
        <v>0.15507</v>
      </c>
    </row>
    <row r="743">
      <c r="B743" t="n">
        <v>0.18763</v>
      </c>
      <c r="C743" t="n">
        <v>0.17839</v>
      </c>
    </row>
    <row r="744">
      <c r="B744" t="n">
        <v>0.1874</v>
      </c>
      <c r="C744" t="n">
        <v>0.15066</v>
      </c>
    </row>
    <row r="745">
      <c r="B745" t="n">
        <v>0.18208</v>
      </c>
      <c r="C745" t="n">
        <v>0.17545</v>
      </c>
    </row>
    <row r="746">
      <c r="B746" t="n">
        <v>0.17665</v>
      </c>
      <c r="C746" t="n">
        <v>0.16</v>
      </c>
    </row>
    <row r="747">
      <c r="B747" t="n">
        <v>0.15726</v>
      </c>
      <c r="C747" t="n">
        <v>0.153</v>
      </c>
    </row>
    <row r="748">
      <c r="B748" t="n">
        <v>0.16449</v>
      </c>
      <c r="C748" t="n">
        <v>0.15874</v>
      </c>
    </row>
    <row r="749">
      <c r="B749" t="n">
        <v>0.18497</v>
      </c>
      <c r="C749" t="n">
        <v>0.16607</v>
      </c>
    </row>
    <row r="750">
      <c r="B750" t="n">
        <v>0.19047</v>
      </c>
      <c r="C750" t="n">
        <v>0.15257</v>
      </c>
    </row>
    <row r="751">
      <c r="B751" t="n">
        <v>0.16233</v>
      </c>
      <c r="C751" t="n">
        <v>0.14147</v>
      </c>
    </row>
    <row r="752">
      <c r="B752" t="n">
        <v>0.19027</v>
      </c>
      <c r="C752" t="n">
        <v>0.14861</v>
      </c>
    </row>
    <row r="753">
      <c r="B753" t="n">
        <v>0.15526</v>
      </c>
      <c r="C753" t="n">
        <v>0.14718</v>
      </c>
    </row>
    <row r="754">
      <c r="B754" t="n">
        <v>0.17706</v>
      </c>
      <c r="C754" t="n">
        <v>0.16831</v>
      </c>
    </row>
    <row r="755">
      <c r="B755" t="n">
        <v>0.23309</v>
      </c>
      <c r="C755" t="n">
        <v>0.20105</v>
      </c>
    </row>
    <row r="756">
      <c r="B756" t="n">
        <v>0.22606</v>
      </c>
      <c r="C756" t="n">
        <v>0.20004</v>
      </c>
    </row>
    <row r="757">
      <c r="B757" t="n">
        <v>0.19928</v>
      </c>
      <c r="C757" t="n">
        <v>0.18486</v>
      </c>
    </row>
    <row r="758">
      <c r="B758" t="n">
        <v>0.16495</v>
      </c>
      <c r="C758" t="n">
        <v>0.16498</v>
      </c>
    </row>
    <row r="759">
      <c r="B759" t="n">
        <v>0.16132</v>
      </c>
      <c r="C759" t="n">
        <v>0.1606</v>
      </c>
    </row>
    <row r="760">
      <c r="B760" t="n">
        <v>0.19116</v>
      </c>
      <c r="C760" t="n">
        <v>0.16989</v>
      </c>
    </row>
    <row r="761">
      <c r="B761" t="n">
        <v>0.19938</v>
      </c>
      <c r="C761" t="n">
        <v>0.17903</v>
      </c>
    </row>
    <row r="762">
      <c r="B762" t="n">
        <v>0.16874</v>
      </c>
      <c r="C762" t="n">
        <v>0.14473</v>
      </c>
    </row>
    <row r="763">
      <c r="B763" t="n">
        <v>0.23505</v>
      </c>
      <c r="C763" t="n">
        <v>0.20488</v>
      </c>
    </row>
    <row r="764">
      <c r="B764" t="n">
        <v>0.16958</v>
      </c>
      <c r="C764" t="n">
        <v>0.16337</v>
      </c>
    </row>
    <row r="765">
      <c r="B765" t="n">
        <v>0.18023</v>
      </c>
      <c r="C765" t="n">
        <v>0.17263</v>
      </c>
    </row>
    <row r="766">
      <c r="B766" t="n">
        <v>0.17385</v>
      </c>
      <c r="C766" t="n">
        <v>0.16592</v>
      </c>
    </row>
    <row r="767">
      <c r="B767" t="n">
        <v>0.20113</v>
      </c>
      <c r="C767" t="n">
        <v>0.15712</v>
      </c>
    </row>
    <row r="768">
      <c r="B768" t="n">
        <v>0.1961</v>
      </c>
      <c r="C768" t="n">
        <v>0.15687</v>
      </c>
    </row>
    <row r="769">
      <c r="B769" t="n">
        <v>0.17219</v>
      </c>
      <c r="C769" t="n">
        <v>0.15546</v>
      </c>
    </row>
    <row r="770">
      <c r="B770" t="n">
        <v>0.21124</v>
      </c>
      <c r="C770" t="n">
        <v>0.16217</v>
      </c>
    </row>
    <row r="771">
      <c r="B771" t="n">
        <v>0.22789</v>
      </c>
      <c r="C771" t="n">
        <v>0.2006</v>
      </c>
    </row>
    <row r="772">
      <c r="B772" t="n">
        <v>0.15362</v>
      </c>
      <c r="C772" t="n">
        <v>0.1347</v>
      </c>
    </row>
    <row r="773">
      <c r="B773" t="n">
        <v>0.15828</v>
      </c>
      <c r="C773" t="n">
        <v>0.13195</v>
      </c>
    </row>
    <row r="774">
      <c r="B774" t="n">
        <v>0.16841</v>
      </c>
      <c r="C774" t="n">
        <v>0.15</v>
      </c>
    </row>
    <row r="775">
      <c r="B775" t="n">
        <v>0.17009</v>
      </c>
      <c r="C775" t="n">
        <v>0.15347</v>
      </c>
    </row>
    <row r="776">
      <c r="B776" t="n">
        <v>0.16542</v>
      </c>
      <c r="C776" t="n">
        <v>0.14741</v>
      </c>
    </row>
    <row r="777">
      <c r="B777" t="n">
        <v>0.19754</v>
      </c>
      <c r="C777" t="n">
        <v>0.16682</v>
      </c>
    </row>
    <row r="778">
      <c r="B778" t="n">
        <v>0.1863</v>
      </c>
      <c r="C778" t="n">
        <v>0.16522</v>
      </c>
    </row>
    <row r="779">
      <c r="B779" t="n">
        <v>0.2085</v>
      </c>
      <c r="C779" t="n">
        <v>0.16028</v>
      </c>
    </row>
    <row r="780">
      <c r="B780" t="n">
        <v>0.17452</v>
      </c>
      <c r="C780" t="n">
        <v>0.16831</v>
      </c>
    </row>
    <row r="781">
      <c r="B781" t="n">
        <v>0.16057</v>
      </c>
      <c r="C781" t="n">
        <v>0.14989</v>
      </c>
    </row>
    <row r="782">
      <c r="B782" t="n">
        <v>0.17914</v>
      </c>
      <c r="C782" t="n">
        <v>0.17247</v>
      </c>
    </row>
    <row r="783">
      <c r="B783" t="n">
        <v>0.17149</v>
      </c>
      <c r="C783" t="n">
        <v>0.15799</v>
      </c>
    </row>
    <row r="784">
      <c r="B784" t="n">
        <v>0.18748</v>
      </c>
      <c r="C784" t="n">
        <v>0.16863</v>
      </c>
    </row>
    <row r="785">
      <c r="B785" t="n">
        <v>0.18591</v>
      </c>
      <c r="C785" t="n">
        <v>0.1728</v>
      </c>
    </row>
    <row r="786">
      <c r="B786" t="n">
        <v>0.19827</v>
      </c>
      <c r="C786" t="n">
        <v>0.1804</v>
      </c>
    </row>
    <row r="787">
      <c r="B787" t="n">
        <v>0.18724</v>
      </c>
      <c r="C787" t="n">
        <v>0.17998</v>
      </c>
    </row>
    <row r="788">
      <c r="B788" t="n">
        <v>0.17914</v>
      </c>
      <c r="C788" t="n">
        <v>0.16899</v>
      </c>
    </row>
    <row r="789">
      <c r="B789" t="n">
        <v>0.17861</v>
      </c>
      <c r="C789" t="n">
        <v>0.15198</v>
      </c>
    </row>
    <row r="790">
      <c r="B790" t="n">
        <v>0.17939</v>
      </c>
      <c r="C790" t="n">
        <v>0.15663</v>
      </c>
    </row>
    <row r="791">
      <c r="B791" t="n">
        <v>0.17942</v>
      </c>
      <c r="C791" t="n">
        <v>0.1701</v>
      </c>
    </row>
    <row r="792">
      <c r="B792" t="n">
        <v>0.17609</v>
      </c>
      <c r="C792" t="n">
        <v>0.16956</v>
      </c>
    </row>
    <row r="793">
      <c r="B793" t="n">
        <v>0.17527</v>
      </c>
      <c r="C793" t="n">
        <v>0.173</v>
      </c>
    </row>
    <row r="794">
      <c r="B794" t="n">
        <v>0.17455</v>
      </c>
      <c r="C794" t="n">
        <v>0.15179</v>
      </c>
    </row>
    <row r="795">
      <c r="B795" t="n">
        <v>0.17675</v>
      </c>
      <c r="C795" t="n">
        <v>0.16994</v>
      </c>
    </row>
    <row r="796">
      <c r="B796" t="n">
        <v>0.1549</v>
      </c>
      <c r="C796" t="n">
        <v>0.14829</v>
      </c>
    </row>
    <row r="797">
      <c r="B797" t="n">
        <v>0.17833</v>
      </c>
      <c r="C797" t="n">
        <v>0.15597</v>
      </c>
    </row>
    <row r="798">
      <c r="B798" t="n">
        <v>0.16841</v>
      </c>
      <c r="C798" t="n">
        <v>0.15475</v>
      </c>
    </row>
    <row r="799">
      <c r="B799" t="n">
        <v>0.19943</v>
      </c>
      <c r="C799" t="n">
        <v>0.1537</v>
      </c>
    </row>
    <row r="800">
      <c r="B800" t="n">
        <v>0.19039</v>
      </c>
      <c r="C800" t="n">
        <v>0.17666</v>
      </c>
    </row>
    <row r="801">
      <c r="B801" t="n">
        <v>0.15305</v>
      </c>
      <c r="C801" t="n">
        <v>0.14181</v>
      </c>
    </row>
    <row r="802">
      <c r="B802" t="n">
        <v>0.17998</v>
      </c>
      <c r="C802" t="n">
        <v>0.17298</v>
      </c>
    </row>
    <row r="803">
      <c r="B803" t="n">
        <v>0.18881</v>
      </c>
      <c r="C803" t="n">
        <v>0.17411</v>
      </c>
    </row>
    <row r="804">
      <c r="B804" t="n">
        <v>0.19567</v>
      </c>
      <c r="C804" t="n">
        <v>0.18349</v>
      </c>
    </row>
    <row r="805">
      <c r="B805" t="n">
        <v>0.19379</v>
      </c>
      <c r="C805" t="n">
        <v>0.16198</v>
      </c>
    </row>
    <row r="806">
      <c r="B806" t="n">
        <v>0.19658</v>
      </c>
      <c r="C806" t="n">
        <v>0.15492</v>
      </c>
    </row>
    <row r="807">
      <c r="B807" t="n">
        <v>0.18991</v>
      </c>
      <c r="C807" t="n">
        <v>0.15481</v>
      </c>
    </row>
    <row r="808">
      <c r="B808" t="n">
        <v>0.18698</v>
      </c>
      <c r="C808" t="n">
        <v>0.15064</v>
      </c>
    </row>
    <row r="809">
      <c r="B809" t="n">
        <v>0.1664</v>
      </c>
      <c r="C809" t="n">
        <v>0.15039</v>
      </c>
    </row>
    <row r="810">
      <c r="B810" t="n">
        <v>0.17267</v>
      </c>
      <c r="C810" t="n">
        <v>0.15806</v>
      </c>
    </row>
    <row r="811">
      <c r="B811" t="n">
        <v>0.20203</v>
      </c>
      <c r="C811" t="n">
        <v>0.18574</v>
      </c>
    </row>
    <row r="812">
      <c r="B812" t="n">
        <v>0.17616</v>
      </c>
      <c r="C812" t="n">
        <v>0.15918</v>
      </c>
    </row>
    <row r="813">
      <c r="B813" t="n">
        <v>0.17154</v>
      </c>
      <c r="C813" t="n">
        <v>0.15893</v>
      </c>
    </row>
    <row r="814">
      <c r="B814" t="n">
        <v>0.16366</v>
      </c>
      <c r="C814" t="n">
        <v>0.12681</v>
      </c>
    </row>
    <row r="815">
      <c r="B815" t="n">
        <v>0.19167</v>
      </c>
      <c r="C815" t="n">
        <v>0.15934</v>
      </c>
    </row>
    <row r="816">
      <c r="B816" t="n">
        <v>0.16853</v>
      </c>
      <c r="C816" t="n">
        <v>0.15772</v>
      </c>
    </row>
    <row r="817">
      <c r="B817" t="n">
        <v>0.19607</v>
      </c>
      <c r="C817" t="n">
        <v>0.17957</v>
      </c>
    </row>
    <row r="818">
      <c r="B818" t="n">
        <v>0.1827</v>
      </c>
      <c r="C818" t="n">
        <v>0.15215</v>
      </c>
    </row>
    <row r="819">
      <c r="B819" t="n">
        <v>0.20631</v>
      </c>
      <c r="C819" t="n">
        <v>0.16017</v>
      </c>
    </row>
    <row r="820">
      <c r="B820" t="n">
        <v>0.16953</v>
      </c>
      <c r="C820" t="n">
        <v>0.153</v>
      </c>
    </row>
    <row r="821">
      <c r="B821" t="n">
        <v>0.18463</v>
      </c>
      <c r="C821" t="n">
        <v>0.14424</v>
      </c>
    </row>
    <row r="822">
      <c r="B822" t="n">
        <v>0.17754</v>
      </c>
      <c r="C822" t="n">
        <v>0.16043</v>
      </c>
    </row>
    <row r="823">
      <c r="B823" t="n">
        <v>0.16789</v>
      </c>
      <c r="C823" t="n">
        <v>0.15391</v>
      </c>
    </row>
    <row r="824">
      <c r="B824" t="n">
        <v>0.1604</v>
      </c>
      <c r="C824" t="n">
        <v>0.16104</v>
      </c>
    </row>
    <row r="825">
      <c r="B825" t="n">
        <v>0.19183</v>
      </c>
      <c r="C825" t="n">
        <v>0.17125</v>
      </c>
    </row>
    <row r="826">
      <c r="B826" t="n">
        <v>0.17433</v>
      </c>
      <c r="C826" t="n">
        <v>0.14749</v>
      </c>
    </row>
    <row r="827">
      <c r="B827" t="n">
        <v>0.1871</v>
      </c>
      <c r="C827" t="n">
        <v>0.18162</v>
      </c>
    </row>
    <row r="828">
      <c r="B828" t="n">
        <v>0.16</v>
      </c>
      <c r="C828" t="n">
        <v>0.14727</v>
      </c>
    </row>
    <row r="829">
      <c r="B829" t="n">
        <v>0.1853</v>
      </c>
      <c r="C829" t="n">
        <v>0.17663</v>
      </c>
    </row>
    <row r="830">
      <c r="B830" t="n">
        <v>0.16982</v>
      </c>
      <c r="C830" t="n">
        <v>0.15629</v>
      </c>
    </row>
    <row r="831">
      <c r="B831" t="n">
        <v>0.20508</v>
      </c>
      <c r="C831" t="n">
        <v>0.15874</v>
      </c>
    </row>
    <row r="832">
      <c r="B832" t="n">
        <v>0.18299</v>
      </c>
      <c r="C832" t="n">
        <v>0.15434</v>
      </c>
    </row>
    <row r="833">
      <c r="B833" t="n">
        <v>0.15414</v>
      </c>
      <c r="C833" t="n">
        <v>0.1482</v>
      </c>
    </row>
    <row r="834">
      <c r="B834" t="n">
        <v>0.23144</v>
      </c>
      <c r="C834" t="n">
        <v>0.16815</v>
      </c>
    </row>
    <row r="835">
      <c r="B835" t="n">
        <v>0.18972</v>
      </c>
      <c r="C835" t="n">
        <v>0.15166</v>
      </c>
    </row>
    <row r="836">
      <c r="B836" t="n">
        <v>0.17103</v>
      </c>
      <c r="C836" t="n">
        <v>0.14781</v>
      </c>
    </row>
    <row r="837">
      <c r="B837" t="n">
        <v>0.23287</v>
      </c>
      <c r="C837" t="n">
        <v>0.16208</v>
      </c>
    </row>
    <row r="838">
      <c r="B838" t="n">
        <v>0.19464</v>
      </c>
      <c r="C838" t="n">
        <v>0.17787</v>
      </c>
    </row>
    <row r="839">
      <c r="B839" t="n">
        <v>0.16781</v>
      </c>
      <c r="C839" t="n">
        <v>0.14581</v>
      </c>
    </row>
    <row r="840">
      <c r="B840" t="n">
        <v>0.17069</v>
      </c>
      <c r="C840" t="n">
        <v>0.15031</v>
      </c>
    </row>
    <row r="841">
      <c r="B841" t="n">
        <v>0.19268</v>
      </c>
      <c r="C841" t="n">
        <v>0.18016</v>
      </c>
    </row>
    <row r="842">
      <c r="B842" t="n">
        <v>0.19214</v>
      </c>
      <c r="C842" t="n">
        <v>0.17168</v>
      </c>
    </row>
    <row r="843">
      <c r="B843" t="n">
        <v>0.18694</v>
      </c>
      <c r="C843" t="n">
        <v>0.15624</v>
      </c>
    </row>
    <row r="844">
      <c r="B844" t="n">
        <v>0.18369</v>
      </c>
      <c r="C844" t="n">
        <v>0.17024</v>
      </c>
    </row>
    <row r="845">
      <c r="B845" t="n">
        <v>0.18455</v>
      </c>
      <c r="C845" t="n">
        <v>0.15429</v>
      </c>
    </row>
    <row r="846">
      <c r="B846" t="n">
        <v>0.19361</v>
      </c>
      <c r="C846" t="n">
        <v>0.16286</v>
      </c>
    </row>
    <row r="847">
      <c r="B847" t="n">
        <v>0.21915</v>
      </c>
      <c r="C847" t="n">
        <v>0.19611</v>
      </c>
    </row>
    <row r="848">
      <c r="B848" t="n">
        <v>0.19081</v>
      </c>
      <c r="C848" t="n">
        <v>0.17008</v>
      </c>
    </row>
    <row r="849">
      <c r="B849" t="n">
        <v>0.20067</v>
      </c>
      <c r="C849" t="n">
        <v>0.18495</v>
      </c>
    </row>
    <row r="850">
      <c r="B850" t="n">
        <v>0.21394</v>
      </c>
      <c r="C850" t="n">
        <v>0.19466</v>
      </c>
    </row>
    <row r="851">
      <c r="B851" t="n">
        <v>0.17289</v>
      </c>
      <c r="C851" t="n">
        <v>0.16995</v>
      </c>
    </row>
    <row r="852">
      <c r="B852" t="n">
        <v>0.21997</v>
      </c>
      <c r="C852" t="n">
        <v>0.16174</v>
      </c>
    </row>
    <row r="853">
      <c r="B853" t="n">
        <v>0.23779</v>
      </c>
      <c r="C853" t="n">
        <v>0.20486</v>
      </c>
    </row>
    <row r="854">
      <c r="B854" t="n">
        <v>0.16221</v>
      </c>
      <c r="C854" t="n">
        <v>0.15321</v>
      </c>
    </row>
    <row r="855">
      <c r="B855" t="n">
        <v>0.18766</v>
      </c>
      <c r="C855" t="n">
        <v>0.15874</v>
      </c>
    </row>
    <row r="856">
      <c r="B856" t="n">
        <v>0.17847</v>
      </c>
      <c r="C856" t="n">
        <v>0.1557</v>
      </c>
    </row>
    <row r="857">
      <c r="B857" t="n">
        <v>0.20766</v>
      </c>
      <c r="C857" t="n">
        <v>0.16396</v>
      </c>
    </row>
    <row r="858">
      <c r="B858" t="n">
        <v>0.18988</v>
      </c>
      <c r="C858" t="n">
        <v>0.15919</v>
      </c>
    </row>
    <row r="859">
      <c r="B859" t="n">
        <v>0.1823</v>
      </c>
      <c r="C859" t="n">
        <v>0.16566</v>
      </c>
    </row>
    <row r="860">
      <c r="B860" t="n">
        <v>0.20821</v>
      </c>
      <c r="C860" t="n">
        <v>0.19006</v>
      </c>
    </row>
    <row r="861">
      <c r="B861" t="n">
        <v>0.21151</v>
      </c>
      <c r="C861" t="n">
        <v>0.15853</v>
      </c>
    </row>
    <row r="862">
      <c r="B862" t="n">
        <v>0.19869</v>
      </c>
      <c r="C862" t="n">
        <v>0.15642</v>
      </c>
    </row>
    <row r="863">
      <c r="B863" t="n">
        <v>0.17825</v>
      </c>
      <c r="C863" t="n">
        <v>0.1576</v>
      </c>
    </row>
    <row r="864">
      <c r="B864" t="n">
        <v>0.19289</v>
      </c>
      <c r="C864" t="n">
        <v>0.15587</v>
      </c>
    </row>
    <row r="865">
      <c r="B865" t="n">
        <v>0.18953</v>
      </c>
      <c r="C865" t="n">
        <v>0.15857</v>
      </c>
    </row>
    <row r="866">
      <c r="B866" t="n">
        <v>0.15683</v>
      </c>
      <c r="C866" t="n">
        <v>0.14957</v>
      </c>
    </row>
    <row r="867">
      <c r="B867" t="n">
        <v>0.1972</v>
      </c>
      <c r="C867" t="n">
        <v>0.16386</v>
      </c>
    </row>
    <row r="868">
      <c r="B868" t="n">
        <v>0.1878</v>
      </c>
      <c r="C868" t="n">
        <v>0.16687</v>
      </c>
    </row>
    <row r="869">
      <c r="B869" t="n">
        <v>0.19837</v>
      </c>
      <c r="C869" t="n">
        <v>0.17986</v>
      </c>
    </row>
    <row r="870">
      <c r="B870" t="n">
        <v>0.18215</v>
      </c>
      <c r="C870" t="n">
        <v>0.16478</v>
      </c>
    </row>
    <row r="871">
      <c r="B871" t="n">
        <v>0.18264</v>
      </c>
      <c r="C871" t="n">
        <v>0.16763</v>
      </c>
    </row>
    <row r="872">
      <c r="B872" t="n">
        <v>0.15512</v>
      </c>
      <c r="C872" t="n">
        <v>0.14067</v>
      </c>
    </row>
    <row r="873">
      <c r="B873" t="n">
        <v>0.17214</v>
      </c>
      <c r="C873" t="n">
        <v>0.16793</v>
      </c>
    </row>
    <row r="874">
      <c r="B874" t="n">
        <v>0.18166</v>
      </c>
      <c r="C874" t="n">
        <v>0.16193</v>
      </c>
    </row>
    <row r="875">
      <c r="B875" t="n">
        <v>0.17686</v>
      </c>
      <c r="C875" t="n">
        <v>0.15228</v>
      </c>
    </row>
    <row r="876">
      <c r="B876" t="n">
        <v>0.22845</v>
      </c>
      <c r="C876" t="n">
        <v>0.16769</v>
      </c>
    </row>
    <row r="877">
      <c r="B877" t="n">
        <v>0.15908</v>
      </c>
      <c r="C877" t="n">
        <v>0.14639</v>
      </c>
    </row>
    <row r="878">
      <c r="B878" t="n">
        <v>0.15661</v>
      </c>
      <c r="C878" t="n">
        <v>0.14567</v>
      </c>
    </row>
    <row r="879">
      <c r="B879" t="n">
        <v>0.15534</v>
      </c>
      <c r="C879" t="n">
        <v>0.15319</v>
      </c>
    </row>
    <row r="880">
      <c r="B880" t="n">
        <v>0.20378</v>
      </c>
      <c r="C880" t="n">
        <v>0.15082</v>
      </c>
    </row>
    <row r="881">
      <c r="B881" t="n">
        <v>0.19361</v>
      </c>
      <c r="C881" t="n">
        <v>0.16002</v>
      </c>
    </row>
    <row r="882">
      <c r="B882" t="n">
        <v>0.20072</v>
      </c>
      <c r="C882" t="n">
        <v>0.16916</v>
      </c>
    </row>
    <row r="883">
      <c r="B883" t="n">
        <v>0.20703</v>
      </c>
      <c r="C883" t="n">
        <v>0.1655</v>
      </c>
    </row>
    <row r="884">
      <c r="B884" t="n">
        <v>0.16986</v>
      </c>
      <c r="C884" t="n">
        <v>0.15793</v>
      </c>
    </row>
    <row r="885">
      <c r="B885" t="n">
        <v>0.16229</v>
      </c>
      <c r="C885" t="n">
        <v>0.16214</v>
      </c>
    </row>
    <row r="886">
      <c r="B886" t="n">
        <v>0.18809</v>
      </c>
      <c r="C886" t="n">
        <v>0.16328</v>
      </c>
    </row>
    <row r="887">
      <c r="B887" t="n">
        <v>0.18185</v>
      </c>
      <c r="C887" t="n">
        <v>0.16814</v>
      </c>
    </row>
    <row r="888">
      <c r="B888" t="n">
        <v>0.20042</v>
      </c>
      <c r="C888" t="n">
        <v>0.15667</v>
      </c>
    </row>
    <row r="889">
      <c r="B889" t="n">
        <v>0.18835</v>
      </c>
      <c r="C889" t="n">
        <v>0.17047</v>
      </c>
    </row>
    <row r="890">
      <c r="B890" t="n">
        <v>0.18873</v>
      </c>
      <c r="C890" t="n">
        <v>0.1543</v>
      </c>
    </row>
    <row r="891">
      <c r="B891" t="n">
        <v>0.18096</v>
      </c>
      <c r="C891" t="n">
        <v>0.17716</v>
      </c>
    </row>
    <row r="892">
      <c r="B892" t="n">
        <v>0.25583</v>
      </c>
      <c r="C892" t="n">
        <v>0.2081</v>
      </c>
    </row>
    <row r="893">
      <c r="B893" t="n">
        <v>0.16471</v>
      </c>
      <c r="C893" t="n">
        <v>0.15758</v>
      </c>
    </row>
    <row r="894">
      <c r="B894" t="n">
        <v>0.16412</v>
      </c>
      <c r="C894" t="n">
        <v>0.1422</v>
      </c>
    </row>
    <row r="895">
      <c r="B895" t="n">
        <v>0.15938</v>
      </c>
      <c r="C895" t="n">
        <v>0.13891</v>
      </c>
    </row>
    <row r="896">
      <c r="B896" t="n">
        <v>0.19354</v>
      </c>
      <c r="C896" t="n">
        <v>0.17873</v>
      </c>
    </row>
    <row r="897">
      <c r="B897" t="n">
        <v>0.17123</v>
      </c>
      <c r="C897" t="n">
        <v>0.15431</v>
      </c>
    </row>
    <row r="898">
      <c r="B898" t="n">
        <v>0.15146</v>
      </c>
      <c r="C898" t="n">
        <v>0.14744</v>
      </c>
    </row>
    <row r="899">
      <c r="B899" t="n">
        <v>0.17985</v>
      </c>
      <c r="C899" t="n">
        <v>0.15754</v>
      </c>
    </row>
    <row r="900">
      <c r="B900" t="n">
        <v>0.18086</v>
      </c>
      <c r="C900" t="n">
        <v>0.14386</v>
      </c>
    </row>
    <row r="901">
      <c r="B901" t="n">
        <v>0.21653</v>
      </c>
      <c r="C901" t="n">
        <v>0.15174</v>
      </c>
    </row>
    <row r="902">
      <c r="B902" t="n">
        <v>0.16359</v>
      </c>
      <c r="C902" t="n">
        <v>0.14971</v>
      </c>
    </row>
    <row r="903">
      <c r="B903" t="n">
        <v>0.19269</v>
      </c>
      <c r="C903" t="n">
        <v>0.1839</v>
      </c>
    </row>
    <row r="904">
      <c r="B904" t="n">
        <v>0.17992</v>
      </c>
      <c r="C904" t="n">
        <v>0.17728</v>
      </c>
    </row>
    <row r="905">
      <c r="B905" t="n">
        <v>0.18777</v>
      </c>
      <c r="C905" t="n">
        <v>0.14487</v>
      </c>
    </row>
    <row r="906">
      <c r="B906" t="n">
        <v>0.1721</v>
      </c>
      <c r="C906" t="n">
        <v>0.1696</v>
      </c>
    </row>
    <row r="907">
      <c r="B907" t="n">
        <v>0.19173</v>
      </c>
      <c r="C907" t="n">
        <v>0.18392</v>
      </c>
    </row>
    <row r="908">
      <c r="B908" t="n">
        <v>0.18392</v>
      </c>
      <c r="C908" t="n">
        <v>0.17623</v>
      </c>
    </row>
    <row r="909">
      <c r="B909" t="n">
        <v>0.19004</v>
      </c>
      <c r="C909" t="n">
        <v>0.16335</v>
      </c>
    </row>
    <row r="910">
      <c r="B910" t="n">
        <v>0.18225</v>
      </c>
      <c r="C910" t="n">
        <v>0.16413</v>
      </c>
    </row>
    <row r="911">
      <c r="B911" t="n">
        <v>0.23121</v>
      </c>
      <c r="C911" t="n">
        <v>0.1785</v>
      </c>
    </row>
    <row r="912">
      <c r="B912" t="n">
        <v>0.19825</v>
      </c>
      <c r="C912" t="n">
        <v>0.15268</v>
      </c>
    </row>
    <row r="913">
      <c r="B913" t="n">
        <v>0.25408</v>
      </c>
      <c r="C913" t="n">
        <v>0.20933</v>
      </c>
    </row>
    <row r="914">
      <c r="B914" t="n">
        <v>0.1688</v>
      </c>
      <c r="C914" t="n">
        <v>0.16892</v>
      </c>
    </row>
    <row r="915">
      <c r="B915" t="n">
        <v>0.18305</v>
      </c>
      <c r="C915" t="n">
        <v>0.17849</v>
      </c>
    </row>
    <row r="916">
      <c r="B916" t="n">
        <v>0.1849</v>
      </c>
      <c r="C916" t="n">
        <v>0.1712</v>
      </c>
    </row>
    <row r="917">
      <c r="B917" t="n">
        <v>0.18323</v>
      </c>
      <c r="C917" t="n">
        <v>0.16866</v>
      </c>
    </row>
    <row r="918">
      <c r="B918" t="n">
        <v>0.18296</v>
      </c>
      <c r="C918" t="n">
        <v>0.15917</v>
      </c>
    </row>
    <row r="919">
      <c r="B919" t="n">
        <v>0.19827</v>
      </c>
      <c r="C919" t="n">
        <v>0.17863</v>
      </c>
    </row>
    <row r="920">
      <c r="B920" t="n">
        <v>0.16617</v>
      </c>
      <c r="C920" t="n">
        <v>0.1417</v>
      </c>
    </row>
    <row r="921">
      <c r="B921" t="n">
        <v>0.17394</v>
      </c>
      <c r="C921" t="n">
        <v>0.16186</v>
      </c>
    </row>
    <row r="922">
      <c r="B922" t="n">
        <v>0.19693</v>
      </c>
      <c r="C922" t="n">
        <v>0.15315</v>
      </c>
    </row>
    <row r="923">
      <c r="B923" t="n">
        <v>0.17518</v>
      </c>
      <c r="C923" t="n">
        <v>0.15994</v>
      </c>
    </row>
    <row r="924">
      <c r="B924" t="n">
        <v>0.16096</v>
      </c>
      <c r="C924" t="n">
        <v>0.1516</v>
      </c>
    </row>
    <row r="925">
      <c r="B925" t="n">
        <v>0.20363</v>
      </c>
      <c r="C925" t="n">
        <v>0.15061</v>
      </c>
    </row>
    <row r="926">
      <c r="B926" t="n">
        <v>0.18634</v>
      </c>
      <c r="C926" t="n">
        <v>0.17264</v>
      </c>
    </row>
    <row r="927">
      <c r="B927" t="n">
        <v>0.15564</v>
      </c>
      <c r="C927" t="n">
        <v>0.14511</v>
      </c>
    </row>
    <row r="928">
      <c r="B928" t="n">
        <v>0.18165</v>
      </c>
      <c r="C928" t="n">
        <v>0.16168</v>
      </c>
    </row>
    <row r="929">
      <c r="B929" t="n">
        <v>0.19402</v>
      </c>
      <c r="C929" t="n">
        <v>0.16988</v>
      </c>
    </row>
    <row r="930">
      <c r="B930" t="n">
        <v>0.17174</v>
      </c>
      <c r="C930" t="n">
        <v>0.1694</v>
      </c>
    </row>
    <row r="931">
      <c r="B931" t="n">
        <v>0.23111</v>
      </c>
      <c r="C931" t="n">
        <v>0.20033</v>
      </c>
    </row>
    <row r="932">
      <c r="B932" t="n">
        <v>0.15897</v>
      </c>
      <c r="C932" t="n">
        <v>0.15619</v>
      </c>
    </row>
    <row r="933">
      <c r="B933" t="n">
        <v>0.17437</v>
      </c>
      <c r="C933" t="n">
        <v>0.1672</v>
      </c>
    </row>
    <row r="934">
      <c r="B934" t="n">
        <v>0.18303</v>
      </c>
      <c r="C934" t="n">
        <v>0.16124</v>
      </c>
    </row>
    <row r="935">
      <c r="B935" t="n">
        <v>0.18421</v>
      </c>
      <c r="C935" t="n">
        <v>0.14977</v>
      </c>
    </row>
    <row r="936">
      <c r="B936" t="n">
        <v>0.15691</v>
      </c>
      <c r="C936" t="n">
        <v>0.14698</v>
      </c>
    </row>
    <row r="937">
      <c r="B937" t="n">
        <v>0.1737</v>
      </c>
      <c r="C937" t="n">
        <v>0.16705</v>
      </c>
    </row>
    <row r="938">
      <c r="B938" t="n">
        <v>0.16796</v>
      </c>
      <c r="C938" t="n">
        <v>0.1541</v>
      </c>
    </row>
    <row r="939">
      <c r="B939" t="n">
        <v>0.22814</v>
      </c>
      <c r="C939" t="n">
        <v>0.18925</v>
      </c>
    </row>
    <row r="940">
      <c r="B940" t="n">
        <v>0.19976</v>
      </c>
      <c r="C940" t="n">
        <v>0.16672</v>
      </c>
    </row>
    <row r="941">
      <c r="B941" t="n">
        <v>0.17639</v>
      </c>
      <c r="C941" t="n">
        <v>0.16238</v>
      </c>
    </row>
    <row r="942">
      <c r="B942" t="n">
        <v>0.21935</v>
      </c>
      <c r="C942" t="n">
        <v>0.1945</v>
      </c>
    </row>
    <row r="943">
      <c r="B943" t="n">
        <v>0.16957</v>
      </c>
      <c r="C943" t="n">
        <v>0.16137</v>
      </c>
    </row>
    <row r="944">
      <c r="B944" t="n">
        <v>0.17723</v>
      </c>
      <c r="C944" t="n">
        <v>0.15326</v>
      </c>
    </row>
    <row r="945">
      <c r="B945" t="n">
        <v>0.15163</v>
      </c>
      <c r="C945" t="n">
        <v>0.14773</v>
      </c>
    </row>
    <row r="946">
      <c r="B946" t="n">
        <v>0.24112</v>
      </c>
      <c r="C946" t="n">
        <v>0.16323</v>
      </c>
    </row>
    <row r="947">
      <c r="B947" t="n">
        <v>0.15918</v>
      </c>
      <c r="C947" t="n">
        <v>0.14266</v>
      </c>
    </row>
    <row r="948">
      <c r="B948" t="n">
        <v>0.17205</v>
      </c>
      <c r="C948" t="n">
        <v>0.16952</v>
      </c>
    </row>
    <row r="949">
      <c r="B949" t="n">
        <v>0.16269</v>
      </c>
      <c r="C949" t="n">
        <v>0.16079</v>
      </c>
    </row>
    <row r="950">
      <c r="B950" t="n">
        <v>0.1573</v>
      </c>
      <c r="C950" t="n">
        <v>0.14407</v>
      </c>
    </row>
    <row r="951">
      <c r="B951" t="n">
        <v>0.17303</v>
      </c>
      <c r="C951" t="n">
        <v>0.1658</v>
      </c>
    </row>
    <row r="952">
      <c r="B952" t="n">
        <v>0.17658</v>
      </c>
      <c r="C952" t="n">
        <v>0.16994</v>
      </c>
    </row>
    <row r="953">
      <c r="B953" t="n">
        <v>0.2108</v>
      </c>
      <c r="C953" t="n">
        <v>0.16293</v>
      </c>
    </row>
    <row r="954">
      <c r="B954" t="n">
        <v>0.21357</v>
      </c>
      <c r="C954" t="n">
        <v>0.19134</v>
      </c>
    </row>
    <row r="955">
      <c r="B955" t="n">
        <v>0.20463</v>
      </c>
      <c r="C955" t="n">
        <v>0.18999</v>
      </c>
    </row>
    <row r="956">
      <c r="B956" t="n">
        <v>0.21582</v>
      </c>
      <c r="C956" t="n">
        <v>0.18794</v>
      </c>
    </row>
    <row r="957">
      <c r="B957" t="n">
        <v>0.23305</v>
      </c>
      <c r="C957" t="n">
        <v>0.19934</v>
      </c>
    </row>
    <row r="958">
      <c r="B958" t="n">
        <v>0.16113</v>
      </c>
      <c r="C958" t="n">
        <v>0.14841</v>
      </c>
    </row>
    <row r="959">
      <c r="B959" t="n">
        <v>0.19904</v>
      </c>
      <c r="C959" t="n">
        <v>0.18655</v>
      </c>
    </row>
    <row r="960">
      <c r="B960" t="n">
        <v>0.17635</v>
      </c>
      <c r="C960" t="n">
        <v>0.15347</v>
      </c>
    </row>
    <row r="961">
      <c r="B961" t="n">
        <v>0.20173</v>
      </c>
      <c r="C961" t="n">
        <v>0.15405</v>
      </c>
    </row>
    <row r="962">
      <c r="B962" t="n">
        <v>0.16724</v>
      </c>
      <c r="C962" t="n">
        <v>0.15814</v>
      </c>
    </row>
    <row r="963">
      <c r="B963" t="n">
        <v>0.19567</v>
      </c>
      <c r="C963" t="n">
        <v>0.1828</v>
      </c>
    </row>
    <row r="964">
      <c r="B964" t="n">
        <v>0.1808</v>
      </c>
      <c r="C964" t="n">
        <v>0.14593</v>
      </c>
    </row>
    <row r="965">
      <c r="B965" t="n">
        <v>0.1732</v>
      </c>
      <c r="C965" t="n">
        <v>0.16438</v>
      </c>
    </row>
    <row r="966">
      <c r="B966" t="n">
        <v>0.19755</v>
      </c>
      <c r="C966" t="n">
        <v>0.18751</v>
      </c>
    </row>
    <row r="967">
      <c r="B967" t="n">
        <v>0.15496</v>
      </c>
      <c r="C967" t="n">
        <v>0.15369</v>
      </c>
    </row>
    <row r="968">
      <c r="B968" t="n">
        <v>0.157</v>
      </c>
      <c r="C968" t="n">
        <v>0.13711</v>
      </c>
    </row>
    <row r="969">
      <c r="B969" t="n">
        <v>0.16617</v>
      </c>
      <c r="C969" t="n">
        <v>0.16408</v>
      </c>
    </row>
    <row r="970">
      <c r="B970" t="n">
        <v>0.19302</v>
      </c>
      <c r="C970" t="n">
        <v>0.18265</v>
      </c>
    </row>
    <row r="971">
      <c r="B971" t="n">
        <v>0.18303</v>
      </c>
      <c r="C971" t="n">
        <v>0.15277</v>
      </c>
    </row>
    <row r="972">
      <c r="B972" t="n">
        <v>0.19288</v>
      </c>
      <c r="C972" t="n">
        <v>0.16325</v>
      </c>
    </row>
    <row r="973">
      <c r="B973" t="n">
        <v>0.15493</v>
      </c>
      <c r="C973" t="n">
        <v>0.14029</v>
      </c>
    </row>
    <row r="974">
      <c r="B974" t="n">
        <v>0.19814</v>
      </c>
      <c r="C974" t="n">
        <v>0.15638</v>
      </c>
    </row>
    <row r="975">
      <c r="B975" t="n">
        <v>0.21469</v>
      </c>
      <c r="C975" t="n">
        <v>0.1742</v>
      </c>
    </row>
    <row r="976">
      <c r="B976" t="n">
        <v>0.24195</v>
      </c>
      <c r="C976" t="n">
        <v>0.20482</v>
      </c>
    </row>
    <row r="977">
      <c r="B977" t="n">
        <v>0.16436</v>
      </c>
      <c r="C977" t="n">
        <v>0.15873</v>
      </c>
    </row>
    <row r="978">
      <c r="B978" t="n">
        <v>0.15856</v>
      </c>
      <c r="C978" t="n">
        <v>0.15282</v>
      </c>
    </row>
    <row r="979">
      <c r="B979" t="n">
        <v>0.18132</v>
      </c>
      <c r="C979" t="n">
        <v>0.17313</v>
      </c>
    </row>
    <row r="980">
      <c r="B980" t="n">
        <v>0.16334</v>
      </c>
      <c r="C980" t="n">
        <v>0.14948</v>
      </c>
    </row>
    <row r="981">
      <c r="B981" t="n">
        <v>0.23904</v>
      </c>
      <c r="C981" t="n">
        <v>0.20194</v>
      </c>
    </row>
    <row r="982">
      <c r="B982" t="n">
        <v>0.17733</v>
      </c>
      <c r="C982" t="n">
        <v>0.17132</v>
      </c>
    </row>
    <row r="983">
      <c r="B983" t="n">
        <v>0.19459</v>
      </c>
      <c r="C983" t="n">
        <v>0.15855</v>
      </c>
    </row>
    <row r="984">
      <c r="B984" t="n">
        <v>0.23605</v>
      </c>
      <c r="C984" t="n">
        <v>0.17247</v>
      </c>
    </row>
    <row r="985">
      <c r="B985" t="n">
        <v>0.19852</v>
      </c>
      <c r="C985" t="n">
        <v>0.17895</v>
      </c>
    </row>
    <row r="986">
      <c r="B986" t="n">
        <v>0.1867</v>
      </c>
      <c r="C986" t="n">
        <v>0.1689</v>
      </c>
    </row>
    <row r="987">
      <c r="B987" t="n">
        <v>0.1993</v>
      </c>
      <c r="C987" t="n">
        <v>0.15338</v>
      </c>
    </row>
    <row r="988">
      <c r="B988" t="n">
        <v>0.17695</v>
      </c>
      <c r="C988" t="n">
        <v>0.1684</v>
      </c>
    </row>
    <row r="989">
      <c r="B989" t="n">
        <v>0.19123</v>
      </c>
      <c r="C989" t="n">
        <v>0.15281</v>
      </c>
    </row>
    <row r="990">
      <c r="B990" t="n">
        <v>0.20354</v>
      </c>
      <c r="C990" t="n">
        <v>0.18779</v>
      </c>
    </row>
    <row r="991">
      <c r="B991" t="n">
        <v>0.16974</v>
      </c>
      <c r="C991" t="n">
        <v>0.15249</v>
      </c>
    </row>
    <row r="992">
      <c r="B992" t="n">
        <v>0.18321</v>
      </c>
      <c r="C992" t="n">
        <v>0.1772</v>
      </c>
    </row>
    <row r="993">
      <c r="B993" t="n">
        <v>0.19075</v>
      </c>
      <c r="C993" t="n">
        <v>0.16453</v>
      </c>
    </row>
    <row r="994">
      <c r="B994" t="n">
        <v>0.18587</v>
      </c>
      <c r="C994" t="n">
        <v>0.17913</v>
      </c>
    </row>
    <row r="995">
      <c r="B995" t="n">
        <v>0.19678</v>
      </c>
      <c r="C995" t="n">
        <v>0.15895</v>
      </c>
    </row>
    <row r="996">
      <c r="B996" t="n">
        <v>0.18735</v>
      </c>
      <c r="C996" t="n">
        <v>0.16387</v>
      </c>
    </row>
    <row r="997">
      <c r="B997" t="n">
        <v>0.17034</v>
      </c>
      <c r="C997" t="n">
        <v>0.15347</v>
      </c>
    </row>
    <row r="998">
      <c r="B998" t="n">
        <v>0.15502</v>
      </c>
      <c r="C998" t="n">
        <v>0.15472</v>
      </c>
    </row>
    <row r="999">
      <c r="B999" t="n">
        <v>0.19772</v>
      </c>
      <c r="C999" t="n">
        <v>0.1605</v>
      </c>
    </row>
    <row r="1000">
      <c r="B1000" t="n">
        <v>0.20197</v>
      </c>
      <c r="C1000" t="n">
        <v>0.17762</v>
      </c>
    </row>
    <row r="1001">
      <c r="B1001" t="n">
        <v>0.17511</v>
      </c>
      <c r="C1001" t="n">
        <v>0.16707</v>
      </c>
    </row>
    <row r="1002">
      <c r="B1002" t="n">
        <v>0.18114</v>
      </c>
      <c r="C1002" t="n">
        <v>0.16737</v>
      </c>
    </row>
    <row r="1003">
      <c r="B1003" t="n">
        <v>0.23266</v>
      </c>
      <c r="C1003" t="n">
        <v>0.20059</v>
      </c>
    </row>
    <row r="1004">
      <c r="B1004" t="n">
        <v>0.19952</v>
      </c>
      <c r="C1004" t="n">
        <v>0.16176</v>
      </c>
    </row>
    <row r="1005">
      <c r="B1005" t="n">
        <v>0.1828</v>
      </c>
      <c r="C1005" t="n">
        <v>0.15832</v>
      </c>
    </row>
    <row r="1006">
      <c r="B1006" t="n">
        <v>0.19803</v>
      </c>
      <c r="C1006" t="n">
        <v>0.16985</v>
      </c>
    </row>
    <row r="1007">
      <c r="B1007" t="n">
        <v>0.16492</v>
      </c>
      <c r="C1007" t="n">
        <v>0.16188</v>
      </c>
    </row>
    <row r="1008">
      <c r="B1008" t="n">
        <v>0.16837</v>
      </c>
      <c r="C1008" t="n">
        <v>0.15935</v>
      </c>
    </row>
    <row r="1009">
      <c r="B1009" t="n">
        <v>0.18202</v>
      </c>
      <c r="C1009" t="n">
        <v>0.14982</v>
      </c>
    </row>
    <row r="1010">
      <c r="B1010" t="n">
        <v>0.16209</v>
      </c>
      <c r="C1010" t="n">
        <v>0.14828</v>
      </c>
    </row>
    <row r="1011">
      <c r="B1011" t="n">
        <v>0.1901</v>
      </c>
      <c r="C1011" t="n">
        <v>0.17888</v>
      </c>
    </row>
    <row r="1012">
      <c r="B1012" t="n">
        <v>0.19856</v>
      </c>
      <c r="C1012" t="n">
        <v>0.15688</v>
      </c>
    </row>
    <row r="1013">
      <c r="B1013" t="n">
        <v>0.18184</v>
      </c>
      <c r="C1013" t="n">
        <v>0.15234</v>
      </c>
    </row>
    <row r="1014">
      <c r="B1014" t="n">
        <v>0.23056</v>
      </c>
      <c r="C1014" t="n">
        <v>0.1654</v>
      </c>
    </row>
    <row r="1015">
      <c r="B1015" t="n">
        <v>0.18801</v>
      </c>
      <c r="C1015" t="n">
        <v>0.16757</v>
      </c>
    </row>
    <row r="1016">
      <c r="B1016" t="n">
        <v>0.18105</v>
      </c>
      <c r="C1016" t="n">
        <v>0.15657</v>
      </c>
    </row>
    <row r="1017">
      <c r="B1017" t="n">
        <v>0.18733</v>
      </c>
      <c r="C1017" t="n">
        <v>0.17859</v>
      </c>
    </row>
    <row r="1018">
      <c r="B1018" t="n">
        <v>0.20195</v>
      </c>
      <c r="C1018" t="n">
        <v>0.17684</v>
      </c>
    </row>
    <row r="1019">
      <c r="B1019" t="n">
        <v>0.16215</v>
      </c>
      <c r="C1019" t="n">
        <v>0.14827</v>
      </c>
    </row>
    <row r="1020">
      <c r="B1020" t="n">
        <v>0.19813</v>
      </c>
      <c r="C1020" t="n">
        <v>0.18179</v>
      </c>
    </row>
    <row r="1021">
      <c r="B1021" t="n">
        <v>0.1937</v>
      </c>
      <c r="C1021" t="n">
        <v>0.17435</v>
      </c>
    </row>
    <row r="1022">
      <c r="B1022" t="n">
        <v>0.16834</v>
      </c>
      <c r="C1022" t="n">
        <v>0.14642</v>
      </c>
    </row>
    <row r="1023">
      <c r="B1023" t="n">
        <v>0.15159</v>
      </c>
      <c r="C1023" t="n">
        <v>0.14471</v>
      </c>
    </row>
    <row r="1024">
      <c r="B1024" t="n">
        <v>0.18339</v>
      </c>
      <c r="C1024" t="n">
        <v>0.1576</v>
      </c>
    </row>
    <row r="1025">
      <c r="B1025" t="n">
        <v>0.18043</v>
      </c>
      <c r="C1025" t="n">
        <v>0.1675</v>
      </c>
    </row>
    <row r="1026">
      <c r="B1026" t="n">
        <v>0.1927</v>
      </c>
      <c r="C1026" t="n">
        <v>0.16236</v>
      </c>
    </row>
    <row r="1027">
      <c r="B1027" t="n">
        <v>0.1812</v>
      </c>
      <c r="C1027" t="n">
        <v>0.17795</v>
      </c>
    </row>
    <row r="1028">
      <c r="B1028" t="n">
        <v>0.19998</v>
      </c>
      <c r="C1028" t="n">
        <v>0.16073</v>
      </c>
    </row>
    <row r="1029">
      <c r="B1029" t="n">
        <v>0.17497</v>
      </c>
      <c r="C1029" t="n">
        <v>0.1539</v>
      </c>
    </row>
    <row r="1030">
      <c r="B1030" t="n">
        <v>0.20985</v>
      </c>
      <c r="C1030" t="n">
        <v>0.19005</v>
      </c>
    </row>
    <row r="1031">
      <c r="B1031" t="n">
        <v>0.17577</v>
      </c>
      <c r="C1031" t="n">
        <v>0.15737</v>
      </c>
    </row>
    <row r="1032">
      <c r="B1032" t="n">
        <v>0.17422</v>
      </c>
      <c r="C1032" t="n">
        <v>0.17016</v>
      </c>
    </row>
    <row r="1033">
      <c r="B1033" t="n">
        <v>0.19421</v>
      </c>
      <c r="C1033" t="n">
        <v>0.18142</v>
      </c>
    </row>
    <row r="1034">
      <c r="B1034" t="n">
        <v>0.17064</v>
      </c>
      <c r="C1034" t="n">
        <v>0.14637</v>
      </c>
    </row>
    <row r="1035">
      <c r="B1035" t="n">
        <v>0.18892</v>
      </c>
      <c r="C1035" t="n">
        <v>0.15557</v>
      </c>
    </row>
    <row r="1036">
      <c r="B1036" t="n">
        <v>0.16707</v>
      </c>
      <c r="C1036" t="n">
        <v>0.14945</v>
      </c>
    </row>
    <row r="1037">
      <c r="B1037" t="n">
        <v>0.19755</v>
      </c>
      <c r="C1037" t="n">
        <v>0.16162</v>
      </c>
    </row>
    <row r="1038">
      <c r="B1038" t="n">
        <v>0.16162</v>
      </c>
      <c r="C1038" t="n">
        <v>0.15459</v>
      </c>
    </row>
    <row r="1039">
      <c r="B1039" t="n">
        <v>0.20297</v>
      </c>
      <c r="C1039" t="n">
        <v>0.16471</v>
      </c>
    </row>
    <row r="1040">
      <c r="B1040" t="n">
        <v>0.17729</v>
      </c>
      <c r="C1040" t="n">
        <v>0.16933</v>
      </c>
    </row>
    <row r="1041">
      <c r="B1041" t="n">
        <v>0.17571</v>
      </c>
      <c r="C1041" t="n">
        <v>0.17292</v>
      </c>
    </row>
    <row r="1042">
      <c r="B1042" t="n">
        <v>0.17285</v>
      </c>
      <c r="C1042" t="n">
        <v>0.15023</v>
      </c>
    </row>
    <row r="1043">
      <c r="B1043" t="n">
        <v>0.1853</v>
      </c>
      <c r="C1043" t="n">
        <v>0.15524</v>
      </c>
    </row>
    <row r="1044">
      <c r="B1044" t="n">
        <v>0.17213</v>
      </c>
      <c r="C1044" t="n">
        <v>0.16428</v>
      </c>
    </row>
    <row r="1045">
      <c r="B1045" t="n">
        <v>0.15332</v>
      </c>
      <c r="C1045" t="n">
        <v>0.14899</v>
      </c>
    </row>
    <row r="1046">
      <c r="B1046" t="n">
        <v>0.18416</v>
      </c>
      <c r="C1046" t="n">
        <v>0.16798</v>
      </c>
    </row>
    <row r="1047">
      <c r="B1047" t="n">
        <v>0.19026</v>
      </c>
      <c r="C1047" t="n">
        <v>0.15542</v>
      </c>
    </row>
    <row r="1048">
      <c r="B1048" t="n">
        <v>0.16418</v>
      </c>
      <c r="C1048" t="n">
        <v>0.14762</v>
      </c>
    </row>
    <row r="1049">
      <c r="B1049" t="n">
        <v>0.18368</v>
      </c>
      <c r="C1049" t="n">
        <v>0.17602</v>
      </c>
    </row>
    <row r="1050">
      <c r="B1050" t="n">
        <v>0.1957</v>
      </c>
      <c r="C1050" t="n">
        <v>0.14867</v>
      </c>
    </row>
    <row r="1051">
      <c r="B1051" t="n">
        <v>0.19421</v>
      </c>
      <c r="C1051" t="n">
        <v>0.16715</v>
      </c>
    </row>
    <row r="1052">
      <c r="B1052" t="n">
        <v>0.18978</v>
      </c>
      <c r="C1052" t="n">
        <v>0.14687</v>
      </c>
    </row>
    <row r="1053">
      <c r="B1053" t="n">
        <v>0.17919</v>
      </c>
      <c r="C1053" t="n">
        <v>0.17625</v>
      </c>
    </row>
    <row r="1054">
      <c r="B1054" t="n">
        <v>0.22009</v>
      </c>
      <c r="C1054" t="n">
        <v>0.16148</v>
      </c>
    </row>
    <row r="1055">
      <c r="B1055" t="n">
        <v>0.19003</v>
      </c>
      <c r="C1055" t="n">
        <v>0.15472</v>
      </c>
    </row>
    <row r="1056">
      <c r="B1056" t="n">
        <v>0.15421</v>
      </c>
      <c r="C1056" t="n">
        <v>0.14402</v>
      </c>
    </row>
    <row r="1057">
      <c r="B1057" t="n">
        <v>0.16961</v>
      </c>
      <c r="C1057" t="n">
        <v>0.15829</v>
      </c>
    </row>
    <row r="1058">
      <c r="B1058" t="n">
        <v>0.18458</v>
      </c>
      <c r="C1058" t="n">
        <v>0.15966</v>
      </c>
    </row>
    <row r="1059">
      <c r="B1059" t="n">
        <v>0.20128</v>
      </c>
      <c r="C1059" t="n">
        <v>0.15832</v>
      </c>
    </row>
    <row r="1060">
      <c r="B1060" t="n">
        <v>0.16587</v>
      </c>
      <c r="C1060" t="n">
        <v>0.14975</v>
      </c>
    </row>
    <row r="1061">
      <c r="B1061" t="n">
        <v>0.20997</v>
      </c>
      <c r="C1061" t="n">
        <v>0.16537</v>
      </c>
    </row>
    <row r="1062">
      <c r="B1062" t="n">
        <v>0.1758</v>
      </c>
      <c r="C1062" t="n">
        <v>0.16938</v>
      </c>
    </row>
    <row r="1063">
      <c r="B1063" t="n">
        <v>0.1782</v>
      </c>
      <c r="C1063" t="n">
        <v>0.15241</v>
      </c>
    </row>
    <row r="1064">
      <c r="B1064" t="n">
        <v>0.18299</v>
      </c>
      <c r="C1064" t="n">
        <v>0.14813</v>
      </c>
    </row>
    <row r="1065">
      <c r="B1065" t="n">
        <v>0.18357</v>
      </c>
      <c r="C1065" t="n">
        <v>0.1535</v>
      </c>
    </row>
    <row r="1066">
      <c r="B1066" t="n">
        <v>0.19266</v>
      </c>
      <c r="C1066" t="n">
        <v>0.1545</v>
      </c>
    </row>
    <row r="1067">
      <c r="B1067" t="n">
        <v>0.20166</v>
      </c>
      <c r="C1067" t="n">
        <v>0.15948</v>
      </c>
    </row>
    <row r="1068">
      <c r="B1068" t="n">
        <v>0.22202</v>
      </c>
      <c r="C1068" t="n">
        <v>0.15847</v>
      </c>
    </row>
    <row r="1069">
      <c r="B1069" t="n">
        <v>0.18043</v>
      </c>
      <c r="C1069" t="n">
        <v>0.15285</v>
      </c>
    </row>
    <row r="1070">
      <c r="B1070" t="n">
        <v>0.18484</v>
      </c>
      <c r="C1070" t="n">
        <v>0.16882</v>
      </c>
    </row>
    <row r="1071">
      <c r="B1071" t="n">
        <v>0.16296</v>
      </c>
      <c r="C1071" t="n">
        <v>0.14644</v>
      </c>
    </row>
    <row r="1072">
      <c r="B1072" t="n">
        <v>0.19515</v>
      </c>
      <c r="C1072" t="n">
        <v>0.1751</v>
      </c>
    </row>
    <row r="1073">
      <c r="B1073" t="n">
        <v>0.20689</v>
      </c>
      <c r="C1073" t="n">
        <v>0.15514</v>
      </c>
    </row>
    <row r="1074">
      <c r="B1074" t="n">
        <v>0.16241</v>
      </c>
      <c r="C1074" t="n">
        <v>0.14279</v>
      </c>
    </row>
    <row r="1075">
      <c r="B1075" t="n">
        <v>0.19132</v>
      </c>
      <c r="C1075" t="n">
        <v>0.1654</v>
      </c>
    </row>
    <row r="1076">
      <c r="B1076" t="n">
        <v>0.19244</v>
      </c>
      <c r="C1076" t="n">
        <v>0.16829</v>
      </c>
    </row>
    <row r="1077">
      <c r="B1077" t="n">
        <v>0.15503</v>
      </c>
      <c r="C1077" t="n">
        <v>0.14172</v>
      </c>
    </row>
    <row r="1078">
      <c r="B1078" t="n">
        <v>0.17673</v>
      </c>
      <c r="C1078" t="n">
        <v>0.16547</v>
      </c>
    </row>
    <row r="1079">
      <c r="B1079" t="n">
        <v>0.18933</v>
      </c>
      <c r="C1079" t="n">
        <v>0.15739</v>
      </c>
    </row>
    <row r="1080">
      <c r="B1080" t="n">
        <v>0.1764</v>
      </c>
      <c r="C1080" t="n">
        <v>0.1674</v>
      </c>
    </row>
    <row r="1081">
      <c r="B1081" t="n">
        <v>0.19469</v>
      </c>
      <c r="C1081" t="n">
        <v>0.16011</v>
      </c>
    </row>
    <row r="1082">
      <c r="B1082" t="n">
        <v>0.18294</v>
      </c>
      <c r="C1082" t="n">
        <v>0.16769</v>
      </c>
    </row>
    <row r="1083">
      <c r="B1083" t="n">
        <v>0.17496</v>
      </c>
      <c r="C1083" t="n">
        <v>0.1504</v>
      </c>
    </row>
    <row r="1084">
      <c r="B1084" t="n">
        <v>0.17761</v>
      </c>
      <c r="C1084" t="n">
        <v>0.14581</v>
      </c>
    </row>
    <row r="1085">
      <c r="B1085" t="n">
        <v>0.16612</v>
      </c>
      <c r="C1085" t="n">
        <v>0.14931</v>
      </c>
    </row>
    <row r="1086">
      <c r="B1086" t="n">
        <v>0.16897</v>
      </c>
      <c r="C1086" t="n">
        <v>0.15716</v>
      </c>
    </row>
    <row r="1087">
      <c r="B1087" t="n">
        <v>0.18371</v>
      </c>
      <c r="C1087" t="n">
        <v>0.16557</v>
      </c>
    </row>
    <row r="1088">
      <c r="B1088" t="n">
        <v>0.19092</v>
      </c>
      <c r="C1088" t="n">
        <v>0.17018</v>
      </c>
    </row>
    <row r="1089">
      <c r="B1089" t="n">
        <v>0.15752</v>
      </c>
      <c r="C1089" t="n">
        <v>0.1291</v>
      </c>
    </row>
    <row r="1090">
      <c r="B1090" t="n">
        <v>0.21331</v>
      </c>
      <c r="C1090" t="n">
        <v>0.15719</v>
      </c>
    </row>
    <row r="1091">
      <c r="B1091" t="n">
        <v>0.18322</v>
      </c>
      <c r="C1091" t="n">
        <v>0.16863</v>
      </c>
    </row>
    <row r="1092">
      <c r="B1092" t="n">
        <v>0.1851</v>
      </c>
      <c r="C1092" t="n">
        <v>0.15391</v>
      </c>
    </row>
    <row r="1093">
      <c r="B1093" t="n">
        <v>0.19673</v>
      </c>
      <c r="C1093" t="n">
        <v>0.15681</v>
      </c>
    </row>
    <row r="1094">
      <c r="B1094" t="n">
        <v>0.15608</v>
      </c>
      <c r="C1094" t="n">
        <v>0.15569</v>
      </c>
    </row>
    <row r="1095">
      <c r="B1095" t="n">
        <v>0.18158</v>
      </c>
      <c r="C1095" t="n">
        <v>0.1511</v>
      </c>
    </row>
    <row r="1096">
      <c r="B1096" t="n">
        <v>0.16649</v>
      </c>
      <c r="C1096" t="n">
        <v>0.16241</v>
      </c>
    </row>
    <row r="1097">
      <c r="B1097" t="n">
        <v>0.20251</v>
      </c>
      <c r="C1097" t="n">
        <v>0.17381</v>
      </c>
    </row>
    <row r="1098">
      <c r="B1098" t="n">
        <v>0.17679</v>
      </c>
      <c r="C1098" t="n">
        <v>0.15378</v>
      </c>
    </row>
    <row r="1099">
      <c r="B1099" t="n">
        <v>0.18044</v>
      </c>
      <c r="C1099" t="n">
        <v>0.16355</v>
      </c>
    </row>
    <row r="1100">
      <c r="B1100" t="n">
        <v>0.1576</v>
      </c>
      <c r="C1100" t="n">
        <v>0.14701</v>
      </c>
    </row>
    <row r="1101">
      <c r="B1101" t="n">
        <v>0.20357</v>
      </c>
      <c r="C1101" t="n">
        <v>0.18611</v>
      </c>
    </row>
    <row r="1102">
      <c r="B1102" t="n">
        <v>0.16727</v>
      </c>
      <c r="C1102" t="n">
        <v>0.15848</v>
      </c>
    </row>
    <row r="1103">
      <c r="B1103" t="n">
        <v>0.17916</v>
      </c>
      <c r="C1103" t="n">
        <v>0.1445</v>
      </c>
    </row>
    <row r="1104">
      <c r="B1104" t="n">
        <v>0.17295</v>
      </c>
      <c r="C1104" t="n">
        <v>0.16866</v>
      </c>
    </row>
    <row r="1105">
      <c r="B1105" t="n">
        <v>0.1773</v>
      </c>
      <c r="C1105" t="n">
        <v>0.16212</v>
      </c>
    </row>
    <row r="1106">
      <c r="B1106" t="n">
        <v>0.20485</v>
      </c>
      <c r="C1106" t="n">
        <v>0.15803</v>
      </c>
    </row>
    <row r="1107">
      <c r="B1107" t="n">
        <v>0.16045</v>
      </c>
      <c r="C1107" t="n">
        <v>0.15897</v>
      </c>
    </row>
    <row r="1108">
      <c r="B1108" t="n">
        <v>0.17331</v>
      </c>
      <c r="C1108" t="n">
        <v>0.15501</v>
      </c>
    </row>
    <row r="1109">
      <c r="B1109" t="n">
        <v>0.15873</v>
      </c>
      <c r="C1109" t="n">
        <v>0.13182</v>
      </c>
    </row>
    <row r="1110">
      <c r="B1110" t="n">
        <v>0.20062</v>
      </c>
      <c r="C1110" t="n">
        <v>0.16826</v>
      </c>
    </row>
    <row r="1111">
      <c r="B1111" t="n">
        <v>0.18168</v>
      </c>
      <c r="C1111" t="n">
        <v>0.15891</v>
      </c>
    </row>
    <row r="1112">
      <c r="B1112" t="n">
        <v>0.20091</v>
      </c>
      <c r="C1112" t="n">
        <v>0.15709</v>
      </c>
    </row>
    <row r="1113">
      <c r="B1113" t="n">
        <v>0.18067</v>
      </c>
      <c r="C1113" t="n">
        <v>0.15408</v>
      </c>
    </row>
    <row r="1114">
      <c r="B1114" t="n">
        <v>0.18589</v>
      </c>
      <c r="C1114" t="n">
        <v>0.15075</v>
      </c>
    </row>
    <row r="1115">
      <c r="B1115" t="n">
        <v>0.19123</v>
      </c>
      <c r="C1115" t="n">
        <v>0.17235</v>
      </c>
    </row>
    <row r="1116">
      <c r="B1116" t="n">
        <v>0.17792</v>
      </c>
      <c r="C1116" t="n">
        <v>0.1584</v>
      </c>
    </row>
    <row r="1117">
      <c r="B1117" t="n">
        <v>0.16655</v>
      </c>
      <c r="C1117" t="n">
        <v>0.16198</v>
      </c>
    </row>
    <row r="1118">
      <c r="B1118" t="n">
        <v>0.19707</v>
      </c>
      <c r="C1118" t="n">
        <v>0.16151</v>
      </c>
    </row>
    <row r="1119">
      <c r="B1119" t="n">
        <v>0.21923</v>
      </c>
      <c r="C1119" t="n">
        <v>0.16937</v>
      </c>
    </row>
    <row r="1120">
      <c r="B1120" t="n">
        <v>0.1959</v>
      </c>
      <c r="C1120" t="n">
        <v>0.18661</v>
      </c>
    </row>
    <row r="1121">
      <c r="B1121" t="n">
        <v>0.18407</v>
      </c>
      <c r="C1121" t="n">
        <v>0.1762</v>
      </c>
    </row>
    <row r="1122">
      <c r="B1122" t="n">
        <v>0.17016</v>
      </c>
      <c r="C1122" t="n">
        <v>0.16539</v>
      </c>
    </row>
    <row r="1123">
      <c r="B1123" t="n">
        <v>0.18147</v>
      </c>
      <c r="C1123" t="n">
        <v>0.16823</v>
      </c>
    </row>
    <row r="1124">
      <c r="B1124" t="n">
        <v>0.195</v>
      </c>
      <c r="C1124" t="n">
        <v>0.17541</v>
      </c>
    </row>
    <row r="1125">
      <c r="B1125" t="n">
        <v>0.21037</v>
      </c>
      <c r="C1125" t="n">
        <v>0.19404</v>
      </c>
    </row>
    <row r="1126">
      <c r="B1126" t="n">
        <v>0.2023</v>
      </c>
      <c r="C1126" t="n">
        <v>0.19013</v>
      </c>
    </row>
    <row r="1127">
      <c r="B1127" t="n">
        <v>0.17093</v>
      </c>
      <c r="C1127" t="n">
        <v>0.15303</v>
      </c>
    </row>
    <row r="1128">
      <c r="B1128" t="n">
        <v>0.16109</v>
      </c>
      <c r="C1128" t="n">
        <v>0.14059</v>
      </c>
    </row>
    <row r="1129">
      <c r="B1129" t="n">
        <v>0.18199</v>
      </c>
      <c r="C1129" t="n">
        <v>0.14586</v>
      </c>
    </row>
    <row r="1130">
      <c r="B1130" t="n">
        <v>0.17466</v>
      </c>
      <c r="C1130" t="n">
        <v>0.16255</v>
      </c>
    </row>
    <row r="1131">
      <c r="B1131" t="n">
        <v>0.18371</v>
      </c>
      <c r="C1131" t="n">
        <v>0.17262</v>
      </c>
    </row>
    <row r="1132">
      <c r="B1132" t="n">
        <v>0.1934</v>
      </c>
      <c r="C1132" t="n">
        <v>0.15904</v>
      </c>
    </row>
    <row r="1133">
      <c r="B1133" t="n">
        <v>0.20279</v>
      </c>
      <c r="C1133" t="n">
        <v>0.18673</v>
      </c>
    </row>
    <row r="1134">
      <c r="B1134" t="n">
        <v>0.19622</v>
      </c>
      <c r="C1134" t="n">
        <v>0.17696</v>
      </c>
    </row>
    <row r="1135">
      <c r="B1135" t="n">
        <v>0.16608</v>
      </c>
      <c r="C1135" t="n">
        <v>0.15042</v>
      </c>
    </row>
    <row r="1136">
      <c r="B1136" t="n">
        <v>0.2146</v>
      </c>
      <c r="C1136" t="n">
        <v>0.15454</v>
      </c>
    </row>
    <row r="1137">
      <c r="B1137" t="n">
        <v>0.16416</v>
      </c>
      <c r="C1137" t="n">
        <v>0.14954</v>
      </c>
    </row>
    <row r="1138">
      <c r="B1138" t="n">
        <v>0.18516</v>
      </c>
      <c r="C1138" t="n">
        <v>0.16274</v>
      </c>
    </row>
    <row r="1139">
      <c r="B1139" t="n">
        <v>0.18556</v>
      </c>
      <c r="C1139" t="n">
        <v>0.16433</v>
      </c>
    </row>
    <row r="1140">
      <c r="B1140" t="n">
        <v>0.18229</v>
      </c>
      <c r="C1140" t="n">
        <v>0.16695</v>
      </c>
    </row>
    <row r="1141">
      <c r="B1141" t="n">
        <v>0.1936</v>
      </c>
      <c r="C1141" t="n">
        <v>0.15638</v>
      </c>
    </row>
    <row r="1142">
      <c r="B1142" t="n">
        <v>0.20508</v>
      </c>
      <c r="C1142" t="n">
        <v>0.16699</v>
      </c>
    </row>
    <row r="1143">
      <c r="B1143" t="n">
        <v>0.19153</v>
      </c>
      <c r="C1143" t="n">
        <v>0.1472</v>
      </c>
    </row>
    <row r="1144">
      <c r="B1144" t="n">
        <v>0.18519</v>
      </c>
      <c r="C1144" t="n">
        <v>0.1597</v>
      </c>
    </row>
    <row r="1145">
      <c r="B1145" t="n">
        <v>0.18878</v>
      </c>
      <c r="C1145" t="n">
        <v>0.18077</v>
      </c>
    </row>
    <row r="1146">
      <c r="B1146" t="n">
        <v>0.16494</v>
      </c>
      <c r="C1146" t="n">
        <v>0.15473</v>
      </c>
    </row>
    <row r="1147">
      <c r="B1147" t="n">
        <v>0.19712</v>
      </c>
      <c r="C1147" t="n">
        <v>0.15646</v>
      </c>
    </row>
    <row r="1148">
      <c r="B1148" t="n">
        <v>0.19315</v>
      </c>
      <c r="C1148" t="n">
        <v>0.1579</v>
      </c>
    </row>
    <row r="1149">
      <c r="B1149" t="n">
        <v>0.15416</v>
      </c>
      <c r="C1149" t="n">
        <v>0.15287</v>
      </c>
    </row>
    <row r="1150">
      <c r="B1150" t="n">
        <v>0.18458</v>
      </c>
      <c r="C1150" t="n">
        <v>0.15729</v>
      </c>
    </row>
    <row r="1151">
      <c r="B1151" t="n">
        <v>0.1843</v>
      </c>
      <c r="C1151" t="n">
        <v>0.17201</v>
      </c>
    </row>
    <row r="1152">
      <c r="B1152" t="n">
        <v>0.16864</v>
      </c>
      <c r="C1152" t="n">
        <v>0.16432</v>
      </c>
    </row>
    <row r="1153">
      <c r="B1153" t="n">
        <v>0.18387</v>
      </c>
      <c r="C1153" t="n">
        <v>0.15377</v>
      </c>
    </row>
    <row r="1154">
      <c r="B1154" t="n">
        <v>0.15518</v>
      </c>
      <c r="C1154" t="n">
        <v>0.15079</v>
      </c>
    </row>
    <row r="1155">
      <c r="B1155" t="n">
        <v>0.18397</v>
      </c>
      <c r="C1155" t="n">
        <v>0.17806</v>
      </c>
    </row>
    <row r="1156">
      <c r="B1156" t="n">
        <v>0.19935</v>
      </c>
      <c r="C1156" t="n">
        <v>0.18042</v>
      </c>
    </row>
    <row r="1157">
      <c r="B1157" t="n">
        <v>0.15761</v>
      </c>
      <c r="C1157" t="n">
        <v>0.14757</v>
      </c>
    </row>
    <row r="1158">
      <c r="B1158" t="n">
        <v>0.2186</v>
      </c>
      <c r="C1158" t="n">
        <v>0.17458</v>
      </c>
    </row>
    <row r="1159">
      <c r="B1159" t="n">
        <v>0.19129</v>
      </c>
      <c r="C1159" t="n">
        <v>0.17327</v>
      </c>
    </row>
    <row r="1160">
      <c r="B1160" t="n">
        <v>0.19198</v>
      </c>
      <c r="C1160" t="n">
        <v>0.16613</v>
      </c>
    </row>
    <row r="1161">
      <c r="B1161" t="n">
        <v>0.19667</v>
      </c>
      <c r="C1161" t="n">
        <v>0.16136</v>
      </c>
    </row>
    <row r="1162">
      <c r="B1162" t="n">
        <v>0.17272</v>
      </c>
      <c r="C1162" t="n">
        <v>0.1706</v>
      </c>
    </row>
    <row r="1163">
      <c r="B1163" t="n">
        <v>0.17199</v>
      </c>
      <c r="C1163" t="n">
        <v>0.16436</v>
      </c>
    </row>
    <row r="1164">
      <c r="B1164" t="n">
        <v>0.19428</v>
      </c>
      <c r="C1164" t="n">
        <v>0.18438</v>
      </c>
    </row>
    <row r="1165">
      <c r="B1165" t="n">
        <v>0.19977</v>
      </c>
      <c r="C1165" t="n">
        <v>0.18468</v>
      </c>
    </row>
    <row r="1166">
      <c r="B1166" t="n">
        <v>0.20633</v>
      </c>
      <c r="C1166" t="n">
        <v>0.15251</v>
      </c>
    </row>
    <row r="1167">
      <c r="B1167" t="n">
        <v>0.22237</v>
      </c>
      <c r="C1167" t="n">
        <v>0.18536</v>
      </c>
    </row>
    <row r="1168">
      <c r="B1168" t="n">
        <v>0.17229</v>
      </c>
      <c r="C1168" t="n">
        <v>0.15739</v>
      </c>
    </row>
    <row r="1169">
      <c r="B1169" t="n">
        <v>0.19636</v>
      </c>
      <c r="C1169" t="n">
        <v>0.16637</v>
      </c>
    </row>
    <row r="1170">
      <c r="B1170" t="n">
        <v>0.19385</v>
      </c>
      <c r="C1170" t="n">
        <v>0.16337</v>
      </c>
    </row>
    <row r="1171">
      <c r="B1171" t="n">
        <v>0.18477</v>
      </c>
      <c r="C1171" t="n">
        <v>0.17596</v>
      </c>
    </row>
    <row r="1172">
      <c r="B1172" t="n">
        <v>0.19975</v>
      </c>
      <c r="C1172" t="n">
        <v>0.18353</v>
      </c>
    </row>
    <row r="1173">
      <c r="B1173" t="n">
        <v>0.19121</v>
      </c>
      <c r="C1173" t="n">
        <v>0.15275</v>
      </c>
    </row>
    <row r="1174">
      <c r="B1174" t="n">
        <v>0.1784</v>
      </c>
      <c r="C1174" t="n">
        <v>0.15162</v>
      </c>
    </row>
    <row r="1175">
      <c r="B1175" t="n">
        <v>0.18878</v>
      </c>
      <c r="C1175" t="n">
        <v>0.18083</v>
      </c>
    </row>
    <row r="1176">
      <c r="B1176" t="n">
        <v>0.18873</v>
      </c>
      <c r="C1176" t="n">
        <v>0.15874</v>
      </c>
    </row>
    <row r="1177">
      <c r="B1177" t="n">
        <v>0.19331</v>
      </c>
      <c r="C1177" t="n">
        <v>0.1489</v>
      </c>
    </row>
    <row r="1178">
      <c r="B1178" t="n">
        <v>0.16466</v>
      </c>
      <c r="C1178" t="n">
        <v>0.16192</v>
      </c>
    </row>
    <row r="1179">
      <c r="B1179" t="n">
        <v>0.18771</v>
      </c>
      <c r="C1179" t="n">
        <v>0.17838</v>
      </c>
    </row>
    <row r="1180">
      <c r="B1180" t="n">
        <v>0.18217</v>
      </c>
      <c r="C1180" t="n">
        <v>0.15067</v>
      </c>
    </row>
    <row r="1181">
      <c r="B1181" t="n">
        <v>0.16607</v>
      </c>
      <c r="C1181" t="n">
        <v>0.14747</v>
      </c>
    </row>
    <row r="1182">
      <c r="B1182" t="n">
        <v>0.20277</v>
      </c>
      <c r="C1182" t="n">
        <v>0.1792</v>
      </c>
    </row>
    <row r="1183">
      <c r="B1183" t="n">
        <v>0.18449</v>
      </c>
      <c r="C1183" t="n">
        <v>0.1576</v>
      </c>
    </row>
    <row r="1184">
      <c r="B1184" t="n">
        <v>0.16997</v>
      </c>
      <c r="C1184" t="n">
        <v>0.15388</v>
      </c>
    </row>
    <row r="1185">
      <c r="B1185" t="n">
        <v>0.20894</v>
      </c>
      <c r="C1185" t="n">
        <v>0.1615</v>
      </c>
    </row>
    <row r="1186">
      <c r="B1186" t="n">
        <v>0.19434</v>
      </c>
      <c r="C1186" t="n">
        <v>0.16301</v>
      </c>
    </row>
    <row r="1187">
      <c r="B1187" t="n">
        <v>0.16811</v>
      </c>
      <c r="C1187" t="n">
        <v>0.14269</v>
      </c>
    </row>
    <row r="1188">
      <c r="B1188" t="n">
        <v>0.18398</v>
      </c>
      <c r="C1188" t="n">
        <v>0.17706</v>
      </c>
    </row>
    <row r="1189">
      <c r="B1189" t="n">
        <v>0.18203</v>
      </c>
      <c r="C1189" t="n">
        <v>0.16378</v>
      </c>
    </row>
    <row r="1190">
      <c r="B1190" t="n">
        <v>0.17784</v>
      </c>
      <c r="C1190" t="n">
        <v>0.1755</v>
      </c>
    </row>
    <row r="1191">
      <c r="B1191" t="n">
        <v>0.21205</v>
      </c>
      <c r="C1191" t="n">
        <v>0.17438</v>
      </c>
    </row>
    <row r="1192">
      <c r="B1192" t="n">
        <v>0.15176</v>
      </c>
      <c r="C1192" t="n">
        <v>0.14115</v>
      </c>
    </row>
    <row r="1193">
      <c r="B1193" t="n">
        <v>0.19038</v>
      </c>
      <c r="C1193" t="n">
        <v>0.18195</v>
      </c>
    </row>
    <row r="1194">
      <c r="B1194" t="n">
        <v>0.17378</v>
      </c>
      <c r="C1194" t="n">
        <v>0.15459</v>
      </c>
    </row>
    <row r="1195">
      <c r="B1195" t="n">
        <v>0.18775</v>
      </c>
      <c r="C1195" t="n">
        <v>0.15981</v>
      </c>
    </row>
    <row r="1196">
      <c r="B1196" t="n">
        <v>0.15694</v>
      </c>
      <c r="C1196" t="n">
        <v>0.14874</v>
      </c>
    </row>
    <row r="1197">
      <c r="B1197" t="n">
        <v>0.20065</v>
      </c>
      <c r="C1197" t="n">
        <v>0.1494</v>
      </c>
    </row>
    <row r="1198">
      <c r="B1198" t="n">
        <v>0.1926</v>
      </c>
      <c r="C1198" t="n">
        <v>0.18538</v>
      </c>
    </row>
    <row r="1199">
      <c r="B1199" t="n">
        <v>0.16339</v>
      </c>
      <c r="C1199" t="n">
        <v>0.16508</v>
      </c>
    </row>
    <row r="1200">
      <c r="B1200" t="n">
        <v>0.19442</v>
      </c>
      <c r="C1200" t="n">
        <v>0.18117</v>
      </c>
    </row>
    <row r="1201">
      <c r="B1201" t="n">
        <v>0.16633</v>
      </c>
      <c r="C1201" t="n">
        <v>0.1536</v>
      </c>
    </row>
    <row r="1202">
      <c r="B1202" t="n">
        <v>0.19726</v>
      </c>
      <c r="C1202" t="n">
        <v>0.17566</v>
      </c>
    </row>
    <row r="1203">
      <c r="B1203" t="n">
        <v>0.20189</v>
      </c>
      <c r="C1203" t="n">
        <v>0.18976</v>
      </c>
    </row>
    <row r="1204">
      <c r="B1204" t="n">
        <v>0.16417</v>
      </c>
      <c r="C1204" t="n">
        <v>0.15912</v>
      </c>
    </row>
    <row r="1205">
      <c r="B1205" t="n">
        <v>0.16919</v>
      </c>
      <c r="C1205" t="n">
        <v>0.15771</v>
      </c>
    </row>
    <row r="1206">
      <c r="B1206" t="n">
        <v>0.15732</v>
      </c>
      <c r="C1206" t="n">
        <v>0.14168</v>
      </c>
    </row>
    <row r="1207">
      <c r="B1207" t="n">
        <v>0.19527</v>
      </c>
      <c r="C1207" t="n">
        <v>0.16059</v>
      </c>
    </row>
    <row r="1208">
      <c r="B1208" t="n">
        <v>0.17359</v>
      </c>
      <c r="C1208" t="n">
        <v>0.17207</v>
      </c>
    </row>
    <row r="1209">
      <c r="B1209" t="n">
        <v>0.19645</v>
      </c>
      <c r="C1209" t="n">
        <v>0.18353</v>
      </c>
    </row>
    <row r="1210">
      <c r="B1210" t="n">
        <v>0.16857</v>
      </c>
      <c r="C1210" t="n">
        <v>0.14236</v>
      </c>
    </row>
    <row r="1211">
      <c r="B1211" t="n">
        <v>0.18366</v>
      </c>
      <c r="C1211" t="n">
        <v>0.15161</v>
      </c>
    </row>
    <row r="1212">
      <c r="B1212" t="n">
        <v>0.17245</v>
      </c>
      <c r="C1212" t="n">
        <v>0.16897</v>
      </c>
    </row>
    <row r="1213">
      <c r="B1213" t="n">
        <v>0.16687</v>
      </c>
      <c r="C1213" t="n">
        <v>0.16197</v>
      </c>
    </row>
    <row r="1214">
      <c r="B1214" t="n">
        <v>0.20163</v>
      </c>
      <c r="C1214" t="n">
        <v>0.16822</v>
      </c>
    </row>
    <row r="1215">
      <c r="B1215" t="n">
        <v>0.20026</v>
      </c>
      <c r="C1215" t="n">
        <v>0.16893</v>
      </c>
    </row>
    <row r="1216">
      <c r="B1216" t="n">
        <v>0.19431</v>
      </c>
      <c r="C1216" t="n">
        <v>0.16553</v>
      </c>
    </row>
    <row r="1217">
      <c r="B1217" t="n">
        <v>0.15858</v>
      </c>
      <c r="C1217" t="n">
        <v>0.14861</v>
      </c>
    </row>
    <row r="1218">
      <c r="B1218" t="n">
        <v>0.17852</v>
      </c>
      <c r="C1218" t="n">
        <v>0.15346</v>
      </c>
    </row>
    <row r="1219">
      <c r="B1219" t="n">
        <v>0.20349</v>
      </c>
      <c r="C1219" t="n">
        <v>0.16444</v>
      </c>
    </row>
    <row r="1220">
      <c r="B1220" t="n">
        <v>0.19964</v>
      </c>
      <c r="C1220" t="n">
        <v>0.15329</v>
      </c>
    </row>
    <row r="1221">
      <c r="B1221" t="n">
        <v>0.1636</v>
      </c>
      <c r="C1221" t="n">
        <v>0.1621</v>
      </c>
    </row>
    <row r="1222">
      <c r="B1222" t="n">
        <v>0.20536</v>
      </c>
      <c r="C1222" t="n">
        <v>0.18497</v>
      </c>
    </row>
    <row r="1223">
      <c r="B1223" t="n">
        <v>0.20182</v>
      </c>
      <c r="C1223" t="n">
        <v>0.18361</v>
      </c>
    </row>
    <row r="1224">
      <c r="B1224" t="n">
        <v>0.24489</v>
      </c>
      <c r="C1224" t="n">
        <v>0.15803</v>
      </c>
    </row>
    <row r="1225">
      <c r="B1225" t="n">
        <v>0.2132</v>
      </c>
      <c r="C1225" t="n">
        <v>0.1771</v>
      </c>
    </row>
    <row r="1226">
      <c r="B1226" t="n">
        <v>0.20036</v>
      </c>
      <c r="C1226" t="n">
        <v>0.16274</v>
      </c>
    </row>
    <row r="1227">
      <c r="B1227" t="n">
        <v>0.18298</v>
      </c>
      <c r="C1227" t="n">
        <v>0.17776</v>
      </c>
    </row>
    <row r="1228">
      <c r="B1228" t="n">
        <v>0.1852</v>
      </c>
      <c r="C1228" t="n">
        <v>0.17873</v>
      </c>
    </row>
    <row r="1229">
      <c r="B1229" t="n">
        <v>0.17133</v>
      </c>
      <c r="C1229" t="n">
        <v>0.1636</v>
      </c>
    </row>
    <row r="1230">
      <c r="B1230" t="n">
        <v>0.20334</v>
      </c>
      <c r="C1230" t="n">
        <v>0.16705</v>
      </c>
    </row>
    <row r="1231">
      <c r="B1231" t="n">
        <v>0.23077</v>
      </c>
      <c r="C1231" t="n">
        <v>0.16365</v>
      </c>
    </row>
    <row r="1232">
      <c r="B1232" t="n">
        <v>0.17878</v>
      </c>
      <c r="C1232" t="n">
        <v>0.1689</v>
      </c>
    </row>
    <row r="1233">
      <c r="B1233" t="n">
        <v>0.15664</v>
      </c>
      <c r="C1233" t="n">
        <v>0.13519</v>
      </c>
    </row>
    <row r="1234">
      <c r="B1234" t="n">
        <v>0.16401</v>
      </c>
      <c r="C1234" t="n">
        <v>0.1625</v>
      </c>
    </row>
    <row r="1235">
      <c r="B1235" t="n">
        <v>0.18544</v>
      </c>
      <c r="C1235" t="n">
        <v>0.17713</v>
      </c>
    </row>
    <row r="1236">
      <c r="B1236" t="n">
        <v>0.17615</v>
      </c>
      <c r="C1236" t="n">
        <v>0.14902</v>
      </c>
    </row>
    <row r="1237">
      <c r="B1237" t="n">
        <v>0.15557</v>
      </c>
      <c r="C1237" t="n">
        <v>0.1448</v>
      </c>
    </row>
    <row r="1238">
      <c r="B1238" t="n">
        <v>0.18371</v>
      </c>
      <c r="C1238" t="n">
        <v>0.15632</v>
      </c>
    </row>
    <row r="1239">
      <c r="B1239" t="n">
        <v>0.16325</v>
      </c>
      <c r="C1239" t="n">
        <v>0.14564</v>
      </c>
    </row>
    <row r="1240">
      <c r="B1240" t="n">
        <v>0.20002</v>
      </c>
      <c r="C1240" t="n">
        <v>0.18711</v>
      </c>
    </row>
    <row r="1241">
      <c r="B1241" t="n">
        <v>0.17237</v>
      </c>
      <c r="C1241" t="n">
        <v>0.15456</v>
      </c>
    </row>
    <row r="1242">
      <c r="B1242" t="n">
        <v>0.2085</v>
      </c>
      <c r="C1242" t="n">
        <v>0.19277</v>
      </c>
    </row>
    <row r="1243">
      <c r="B1243" t="n">
        <v>0.15706</v>
      </c>
      <c r="C1243" t="n">
        <v>0.14298</v>
      </c>
    </row>
    <row r="1244">
      <c r="B1244" t="n">
        <v>0.16924</v>
      </c>
      <c r="C1244" t="n">
        <v>0.16558</v>
      </c>
    </row>
    <row r="1245">
      <c r="B1245" t="n">
        <v>0.16033</v>
      </c>
      <c r="C1245" t="n">
        <v>0.14862</v>
      </c>
    </row>
    <row r="1246">
      <c r="B1246" t="n">
        <v>0.15799</v>
      </c>
      <c r="C1246" t="n">
        <v>0.13778</v>
      </c>
    </row>
    <row r="1247">
      <c r="B1247" t="n">
        <v>0.20044</v>
      </c>
      <c r="C1247" t="n">
        <v>0.1706</v>
      </c>
    </row>
    <row r="1248">
      <c r="B1248" t="n">
        <v>0.17792</v>
      </c>
      <c r="C1248" t="n">
        <v>0.16563</v>
      </c>
    </row>
    <row r="1249">
      <c r="B1249" t="n">
        <v>0.17631</v>
      </c>
      <c r="C1249" t="n">
        <v>0.1562</v>
      </c>
    </row>
    <row r="1250">
      <c r="B1250" t="n">
        <v>0.17919</v>
      </c>
      <c r="C1250" t="n">
        <v>0.16624</v>
      </c>
    </row>
    <row r="1251">
      <c r="B1251" t="n">
        <v>0.17082</v>
      </c>
      <c r="C1251" t="n">
        <v>0.15465</v>
      </c>
    </row>
    <row r="1252">
      <c r="B1252" t="n">
        <v>0.18807</v>
      </c>
      <c r="C1252" t="n">
        <v>0.16981</v>
      </c>
    </row>
    <row r="1253">
      <c r="B1253" t="n">
        <v>0.22885</v>
      </c>
      <c r="C1253" t="n">
        <v>0.15551</v>
      </c>
    </row>
    <row r="1254">
      <c r="B1254" t="n">
        <v>0.2177</v>
      </c>
      <c r="C1254" t="n">
        <v>0.15859</v>
      </c>
    </row>
    <row r="1255">
      <c r="B1255" t="n">
        <v>0.21181</v>
      </c>
      <c r="C1255" t="n">
        <v>0.1919</v>
      </c>
    </row>
    <row r="1256">
      <c r="B1256" t="n">
        <v>0.17237</v>
      </c>
      <c r="C1256" t="n">
        <v>0.15576</v>
      </c>
    </row>
    <row r="1257">
      <c r="B1257" t="n">
        <v>0.1721</v>
      </c>
      <c r="C1257" t="n">
        <v>0.15385</v>
      </c>
    </row>
    <row r="1258">
      <c r="B1258" t="n">
        <v>0.18833</v>
      </c>
      <c r="C1258" t="n">
        <v>0.17047</v>
      </c>
    </row>
    <row r="1259">
      <c r="B1259" t="n">
        <v>0.15543</v>
      </c>
      <c r="C1259" t="n">
        <v>0.15119</v>
      </c>
    </row>
    <row r="1260">
      <c r="B1260" t="n">
        <v>0.16943</v>
      </c>
      <c r="C1260" t="n">
        <v>0.16527</v>
      </c>
    </row>
    <row r="1261">
      <c r="B1261" t="n">
        <v>0.18998</v>
      </c>
      <c r="C1261" t="n">
        <v>0.1827</v>
      </c>
    </row>
    <row r="1262">
      <c r="B1262" t="n">
        <v>0.22424</v>
      </c>
      <c r="C1262" t="n">
        <v>0.19659</v>
      </c>
    </row>
    <row r="1263">
      <c r="B1263" t="n">
        <v>0.16466</v>
      </c>
      <c r="C1263" t="n">
        <v>0.15283</v>
      </c>
    </row>
    <row r="1264">
      <c r="B1264" t="n">
        <v>0.18361</v>
      </c>
      <c r="C1264" t="n">
        <v>0.16247</v>
      </c>
    </row>
    <row r="1265">
      <c r="B1265" t="n">
        <v>0.17729</v>
      </c>
      <c r="C1265" t="n">
        <v>0.13918</v>
      </c>
    </row>
    <row r="1266">
      <c r="B1266" t="n">
        <v>0.15864</v>
      </c>
      <c r="C1266" t="n">
        <v>0.14376</v>
      </c>
    </row>
    <row r="1267">
      <c r="B1267" t="n">
        <v>0.18692</v>
      </c>
      <c r="C1267" t="n">
        <v>0.17478</v>
      </c>
    </row>
    <row r="1268">
      <c r="B1268" t="n">
        <v>0.18166</v>
      </c>
      <c r="C1268" t="n">
        <v>0.15232</v>
      </c>
    </row>
    <row r="1269">
      <c r="B1269" t="n">
        <v>0.15594</v>
      </c>
      <c r="C1269" t="n">
        <v>0.14594</v>
      </c>
    </row>
    <row r="1270">
      <c r="B1270" t="n">
        <v>0.19581</v>
      </c>
      <c r="C1270" t="n">
        <v>0.17858</v>
      </c>
    </row>
    <row r="1271">
      <c r="B1271" t="n">
        <v>0.2122</v>
      </c>
      <c r="C1271" t="n">
        <v>0.16394</v>
      </c>
    </row>
    <row r="1272">
      <c r="B1272" t="n">
        <v>0.22193</v>
      </c>
      <c r="C1272" t="n">
        <v>0.15539</v>
      </c>
    </row>
    <row r="1273">
      <c r="B1273" t="n">
        <v>0.1562</v>
      </c>
      <c r="C1273" t="n">
        <v>0.15122</v>
      </c>
    </row>
    <row r="1274">
      <c r="B1274" t="n">
        <v>0.18761</v>
      </c>
      <c r="C1274" t="n">
        <v>0.15777</v>
      </c>
    </row>
    <row r="1275">
      <c r="B1275" t="n">
        <v>0.159</v>
      </c>
      <c r="C1275" t="n">
        <v>0.15639</v>
      </c>
    </row>
    <row r="1276">
      <c r="B1276" t="n">
        <v>0.19067</v>
      </c>
      <c r="C1276" t="n">
        <v>0.18032</v>
      </c>
    </row>
    <row r="1277">
      <c r="B1277" t="n">
        <v>0.17063</v>
      </c>
      <c r="C1277" t="n">
        <v>0.15889</v>
      </c>
    </row>
    <row r="1278">
      <c r="B1278" t="n">
        <v>0.16998</v>
      </c>
      <c r="C1278" t="n">
        <v>0.16998</v>
      </c>
    </row>
    <row r="1279">
      <c r="B1279" t="n">
        <v>0.19139</v>
      </c>
      <c r="C1279" t="n">
        <v>0.18364</v>
      </c>
    </row>
    <row r="1280">
      <c r="B1280" t="n">
        <v>0.18123</v>
      </c>
      <c r="C1280" t="n">
        <v>0.16478</v>
      </c>
    </row>
    <row r="1281">
      <c r="B1281" t="n">
        <v>0.17581</v>
      </c>
      <c r="C1281" t="n">
        <v>0.15484</v>
      </c>
    </row>
    <row r="1282">
      <c r="B1282" t="n">
        <v>0.19675</v>
      </c>
      <c r="C1282" t="n">
        <v>0.17456</v>
      </c>
    </row>
    <row r="1283">
      <c r="B1283" t="n">
        <v>0.16192</v>
      </c>
      <c r="C1283" t="n">
        <v>0.15937</v>
      </c>
    </row>
    <row r="1284">
      <c r="B1284" t="n">
        <v>0.17279</v>
      </c>
      <c r="C1284" t="n">
        <v>0.1704</v>
      </c>
    </row>
    <row r="1285">
      <c r="B1285" t="n">
        <v>0.15221</v>
      </c>
      <c r="C1285" t="n">
        <v>0.14742</v>
      </c>
    </row>
    <row r="1286">
      <c r="B1286" t="n">
        <v>0.19367</v>
      </c>
      <c r="C1286" t="n">
        <v>0.17669</v>
      </c>
    </row>
    <row r="1287">
      <c r="B1287" t="n">
        <v>0.1586</v>
      </c>
      <c r="C1287" t="n">
        <v>0.15441</v>
      </c>
    </row>
    <row r="1288">
      <c r="B1288" t="n">
        <v>0.1894</v>
      </c>
      <c r="C1288" t="n">
        <v>0.17293</v>
      </c>
    </row>
    <row r="1289">
      <c r="B1289" t="n">
        <v>0.16429</v>
      </c>
      <c r="C1289" t="n">
        <v>0.14176</v>
      </c>
    </row>
    <row r="1290">
      <c r="B1290" t="n">
        <v>0.18381</v>
      </c>
      <c r="C1290" t="n">
        <v>0.15291</v>
      </c>
    </row>
    <row r="1291">
      <c r="B1291" t="n">
        <v>0.19658</v>
      </c>
      <c r="C1291" t="n">
        <v>0.15196</v>
      </c>
    </row>
    <row r="1292">
      <c r="B1292" t="n">
        <v>0.19292</v>
      </c>
      <c r="C1292" t="n">
        <v>0.17017</v>
      </c>
    </row>
    <row r="1293">
      <c r="B1293" t="n">
        <v>0.15364</v>
      </c>
      <c r="C1293" t="n">
        <v>0.1489</v>
      </c>
    </row>
    <row r="1294">
      <c r="B1294" t="n">
        <v>0.17671</v>
      </c>
      <c r="C1294" t="n">
        <v>0.16877</v>
      </c>
    </row>
    <row r="1295">
      <c r="B1295" t="n">
        <v>0.17374</v>
      </c>
      <c r="C1295" t="n">
        <v>0.15929</v>
      </c>
    </row>
    <row r="1296">
      <c r="B1296" t="n">
        <v>0.17792</v>
      </c>
      <c r="C1296" t="n">
        <v>0.16846</v>
      </c>
    </row>
    <row r="1297">
      <c r="B1297" t="n">
        <v>0.19589</v>
      </c>
      <c r="C1297" t="n">
        <v>0.18476</v>
      </c>
    </row>
    <row r="1298">
      <c r="B1298" t="n">
        <v>0.15729</v>
      </c>
      <c r="C1298" t="n">
        <v>0.15085</v>
      </c>
    </row>
    <row r="1299">
      <c r="B1299" t="n">
        <v>0.18712</v>
      </c>
      <c r="C1299" t="n">
        <v>0.14416</v>
      </c>
    </row>
    <row r="1300">
      <c r="B1300" t="n">
        <v>0.15265</v>
      </c>
      <c r="C1300" t="n">
        <v>0.13925</v>
      </c>
    </row>
    <row r="1301">
      <c r="B1301" t="n">
        <v>0.18034</v>
      </c>
      <c r="C1301" t="n">
        <v>0.1475</v>
      </c>
    </row>
    <row r="1302">
      <c r="B1302" t="n">
        <v>0.18425</v>
      </c>
      <c r="C1302" t="n">
        <v>0.15505</v>
      </c>
    </row>
    <row r="1303">
      <c r="B1303" t="n">
        <v>0.17575</v>
      </c>
      <c r="C1303" t="n">
        <v>0.15716</v>
      </c>
    </row>
    <row r="1304">
      <c r="B1304" t="n">
        <v>0.17201</v>
      </c>
      <c r="C1304" t="n">
        <v>0.15259</v>
      </c>
    </row>
    <row r="1305">
      <c r="B1305" t="n">
        <v>0.18946</v>
      </c>
      <c r="C1305" t="n">
        <v>0.15909</v>
      </c>
    </row>
    <row r="1306">
      <c r="B1306" t="n">
        <v>0.18625</v>
      </c>
      <c r="C1306" t="n">
        <v>0.15487</v>
      </c>
    </row>
    <row r="1307">
      <c r="B1307" t="n">
        <v>0.1686</v>
      </c>
      <c r="C1307" t="n">
        <v>0.16579</v>
      </c>
    </row>
    <row r="1308">
      <c r="B1308" t="n">
        <v>0.19085</v>
      </c>
      <c r="C1308" t="n">
        <v>0.17942</v>
      </c>
    </row>
    <row r="1309">
      <c r="B1309" t="n">
        <v>0.1833</v>
      </c>
      <c r="C1309" t="n">
        <v>0.17693</v>
      </c>
    </row>
    <row r="1310">
      <c r="B1310" t="n">
        <v>0.19917</v>
      </c>
      <c r="C1310" t="n">
        <v>0.1505</v>
      </c>
    </row>
    <row r="1311">
      <c r="B1311" t="n">
        <v>0.1612</v>
      </c>
      <c r="C1311" t="n">
        <v>0.13974</v>
      </c>
    </row>
    <row r="1312">
      <c r="B1312" t="n">
        <v>0.20675</v>
      </c>
      <c r="C1312" t="n">
        <v>0.16991</v>
      </c>
    </row>
    <row r="1313">
      <c r="B1313" t="n">
        <v>0.16936</v>
      </c>
      <c r="C1313" t="n">
        <v>0.15356</v>
      </c>
    </row>
    <row r="1314">
      <c r="B1314" t="n">
        <v>0.1601</v>
      </c>
      <c r="C1314" t="n">
        <v>0.16233</v>
      </c>
    </row>
    <row r="1315">
      <c r="B1315" t="n">
        <v>0.18428</v>
      </c>
      <c r="C1315" t="n">
        <v>0.15041</v>
      </c>
    </row>
    <row r="1316">
      <c r="B1316" t="n">
        <v>0.22574</v>
      </c>
      <c r="C1316" t="n">
        <v>0.19795</v>
      </c>
    </row>
    <row r="1317">
      <c r="B1317" t="n">
        <v>0.18551</v>
      </c>
      <c r="C1317" t="n">
        <v>0.17814</v>
      </c>
    </row>
    <row r="1318">
      <c r="B1318" t="n">
        <v>0.19691</v>
      </c>
      <c r="C1318" t="n">
        <v>0.15566</v>
      </c>
    </row>
    <row r="1319">
      <c r="B1319" t="n">
        <v>0.17756</v>
      </c>
      <c r="C1319" t="n">
        <v>0.1594</v>
      </c>
    </row>
    <row r="1320">
      <c r="B1320" t="n">
        <v>0.17771</v>
      </c>
      <c r="C1320" t="n">
        <v>0.17233</v>
      </c>
    </row>
    <row r="1321">
      <c r="B1321" t="n">
        <v>0.17258</v>
      </c>
      <c r="C1321" t="n">
        <v>0.16072</v>
      </c>
    </row>
    <row r="1322">
      <c r="B1322" t="n">
        <v>0.18736</v>
      </c>
      <c r="C1322" t="n">
        <v>0.1615</v>
      </c>
    </row>
    <row r="1323">
      <c r="B1323" t="n">
        <v>0.1688</v>
      </c>
      <c r="C1323" t="n">
        <v>0.15037</v>
      </c>
    </row>
    <row r="1324">
      <c r="B1324" t="n">
        <v>0.17878</v>
      </c>
      <c r="C1324" t="n">
        <v>0.16898</v>
      </c>
    </row>
    <row r="1325">
      <c r="B1325" t="n">
        <v>0.19401</v>
      </c>
      <c r="C1325" t="n">
        <v>0.15445</v>
      </c>
    </row>
    <row r="1326">
      <c r="B1326" t="n">
        <v>0.17915</v>
      </c>
      <c r="C1326" t="n">
        <v>0.15068</v>
      </c>
    </row>
    <row r="1327">
      <c r="B1327" t="n">
        <v>0.16085</v>
      </c>
      <c r="C1327" t="n">
        <v>0.1441</v>
      </c>
    </row>
    <row r="1328">
      <c r="B1328" t="n">
        <v>0.17653</v>
      </c>
      <c r="C1328" t="n">
        <v>0.16363</v>
      </c>
    </row>
    <row r="1329">
      <c r="B1329" t="n">
        <v>0.20607</v>
      </c>
      <c r="C1329" t="n">
        <v>0.19147</v>
      </c>
    </row>
    <row r="1330">
      <c r="B1330" t="n">
        <v>0.16907</v>
      </c>
      <c r="C1330" t="n">
        <v>0.16866</v>
      </c>
    </row>
    <row r="1331">
      <c r="B1331" t="n">
        <v>0.16241</v>
      </c>
      <c r="C1331" t="n">
        <v>0.14881</v>
      </c>
    </row>
    <row r="1332">
      <c r="B1332" t="n">
        <v>0.18479</v>
      </c>
      <c r="C1332" t="n">
        <v>0.15362</v>
      </c>
    </row>
    <row r="1333">
      <c r="B1333" t="n">
        <v>0.18408</v>
      </c>
      <c r="C1333" t="n">
        <v>0.1564</v>
      </c>
    </row>
    <row r="1334">
      <c r="B1334" t="n">
        <v>0.19727</v>
      </c>
      <c r="C1334" t="n">
        <v>0.18692</v>
      </c>
    </row>
    <row r="1335">
      <c r="B1335" t="n">
        <v>0.18877</v>
      </c>
      <c r="C1335" t="n">
        <v>0.1801</v>
      </c>
    </row>
    <row r="1336">
      <c r="B1336" t="n">
        <v>0.15346</v>
      </c>
      <c r="C1336" t="n">
        <v>0.13932</v>
      </c>
    </row>
    <row r="1337">
      <c r="B1337" t="n">
        <v>0.18346</v>
      </c>
      <c r="C1337" t="n">
        <v>0.16189</v>
      </c>
    </row>
    <row r="1338">
      <c r="B1338" t="n">
        <v>0.19754</v>
      </c>
      <c r="C1338" t="n">
        <v>0.16769</v>
      </c>
    </row>
    <row r="1339">
      <c r="B1339" t="n">
        <v>0.17085</v>
      </c>
      <c r="C1339" t="n">
        <v>0.15285</v>
      </c>
    </row>
    <row r="1340">
      <c r="B1340" t="n">
        <v>0.18089</v>
      </c>
      <c r="C1340" t="n">
        <v>0.15321</v>
      </c>
    </row>
    <row r="1341">
      <c r="B1341" t="n">
        <v>0.16256</v>
      </c>
      <c r="C1341" t="n">
        <v>0.1617</v>
      </c>
    </row>
    <row r="1342">
      <c r="B1342" t="n">
        <v>0.15677</v>
      </c>
      <c r="C1342" t="n">
        <v>0.15927</v>
      </c>
    </row>
    <row r="1343">
      <c r="B1343" t="n">
        <v>0.19099</v>
      </c>
      <c r="C1343" t="n">
        <v>0.15967</v>
      </c>
    </row>
    <row r="1344">
      <c r="B1344" t="n">
        <v>0.18907</v>
      </c>
      <c r="C1344" t="n">
        <v>0.17382</v>
      </c>
    </row>
    <row r="1345">
      <c r="B1345" t="n">
        <v>0.17037</v>
      </c>
      <c r="C1345" t="n">
        <v>0.15359</v>
      </c>
    </row>
    <row r="1346">
      <c r="B1346" t="n">
        <v>0.17438</v>
      </c>
      <c r="C1346" t="n">
        <v>0.16162</v>
      </c>
    </row>
    <row r="1347">
      <c r="B1347" t="n">
        <v>0.18167</v>
      </c>
      <c r="C1347" t="n">
        <v>0.14822</v>
      </c>
    </row>
    <row r="1348">
      <c r="B1348" t="n">
        <v>0.19502</v>
      </c>
      <c r="C1348" t="n">
        <v>0.16283</v>
      </c>
    </row>
    <row r="1349">
      <c r="B1349" t="n">
        <v>0.16679</v>
      </c>
      <c r="C1349" t="n">
        <v>0.146</v>
      </c>
    </row>
    <row r="1350">
      <c r="B1350" t="n">
        <v>0.22671</v>
      </c>
      <c r="C1350" t="n">
        <v>0.20131</v>
      </c>
    </row>
    <row r="1351">
      <c r="B1351" t="n">
        <v>0.17691</v>
      </c>
      <c r="C1351" t="n">
        <v>0.17539</v>
      </c>
    </row>
    <row r="1352">
      <c r="B1352" t="n">
        <v>0.19502</v>
      </c>
      <c r="C1352" t="n">
        <v>0.18363</v>
      </c>
    </row>
    <row r="1353">
      <c r="B1353" t="n">
        <v>0.20454</v>
      </c>
      <c r="C1353" t="n">
        <v>0.18084</v>
      </c>
    </row>
    <row r="1354">
      <c r="B1354" t="n">
        <v>0.16214</v>
      </c>
      <c r="C1354" t="n">
        <v>0.15071</v>
      </c>
    </row>
    <row r="1355">
      <c r="B1355" t="n">
        <v>0.16809</v>
      </c>
      <c r="C1355" t="n">
        <v>0.16484</v>
      </c>
    </row>
    <row r="1356">
      <c r="B1356" t="n">
        <v>0.18086</v>
      </c>
      <c r="C1356" t="n">
        <v>0.16253</v>
      </c>
    </row>
    <row r="1357">
      <c r="B1357" t="n">
        <v>0.15268</v>
      </c>
      <c r="C1357" t="n">
        <v>0.13814</v>
      </c>
    </row>
    <row r="1358">
      <c r="B1358" t="n">
        <v>0.16508</v>
      </c>
      <c r="C1358" t="n">
        <v>0.15659</v>
      </c>
    </row>
    <row r="1359">
      <c r="B1359" t="n">
        <v>0.16407</v>
      </c>
      <c r="C1359" t="n">
        <v>0.16563</v>
      </c>
    </row>
    <row r="1360">
      <c r="B1360" t="n">
        <v>0.21595</v>
      </c>
      <c r="C1360" t="n">
        <v>0.19308</v>
      </c>
    </row>
    <row r="1361">
      <c r="B1361" t="n">
        <v>0.20228</v>
      </c>
      <c r="C1361" t="n">
        <v>0.17603</v>
      </c>
    </row>
    <row r="1362">
      <c r="B1362" t="n">
        <v>0.1995</v>
      </c>
      <c r="C1362" t="n">
        <v>0.16345</v>
      </c>
    </row>
    <row r="1363">
      <c r="B1363" t="n">
        <v>0.18838</v>
      </c>
      <c r="C1363" t="n">
        <v>0.16438</v>
      </c>
    </row>
    <row r="1364">
      <c r="B1364" t="n">
        <v>0.18222</v>
      </c>
      <c r="C1364" t="n">
        <v>0.17405</v>
      </c>
    </row>
    <row r="1365">
      <c r="B1365" t="n">
        <v>0.15631</v>
      </c>
      <c r="C1365" t="n">
        <v>0.15838</v>
      </c>
    </row>
    <row r="1366">
      <c r="B1366" t="n">
        <v>0.22627</v>
      </c>
      <c r="C1366" t="n">
        <v>0.1841</v>
      </c>
    </row>
    <row r="1367">
      <c r="B1367" t="n">
        <v>0.1587</v>
      </c>
      <c r="C1367" t="n">
        <v>0.15477</v>
      </c>
    </row>
    <row r="1368">
      <c r="B1368" t="n">
        <v>0.18102</v>
      </c>
      <c r="C1368" t="n">
        <v>0.17706</v>
      </c>
    </row>
    <row r="1369">
      <c r="B1369" t="n">
        <v>0.21619</v>
      </c>
      <c r="C1369" t="n">
        <v>0.19478</v>
      </c>
    </row>
    <row r="1370">
      <c r="B1370" t="n">
        <v>0.16744</v>
      </c>
      <c r="C1370" t="n">
        <v>0.15033</v>
      </c>
    </row>
    <row r="1371">
      <c r="B1371" t="n">
        <v>0.17503</v>
      </c>
      <c r="C1371" t="n">
        <v>0.14857</v>
      </c>
    </row>
    <row r="1372">
      <c r="B1372" t="n">
        <v>0.15893</v>
      </c>
      <c r="C1372" t="n">
        <v>0.15629</v>
      </c>
    </row>
    <row r="1373">
      <c r="B1373" t="n">
        <v>0.19541</v>
      </c>
      <c r="C1373" t="n">
        <v>0.17449</v>
      </c>
    </row>
    <row r="1374">
      <c r="B1374" t="n">
        <v>0.22922</v>
      </c>
      <c r="C1374" t="n">
        <v>0.18515</v>
      </c>
    </row>
    <row r="1375">
      <c r="B1375" t="n">
        <v>0.15323</v>
      </c>
      <c r="C1375" t="n">
        <v>0.14371</v>
      </c>
    </row>
    <row r="1376">
      <c r="B1376" t="n">
        <v>0.18786</v>
      </c>
      <c r="C1376" t="n">
        <v>0.17867</v>
      </c>
    </row>
    <row r="1377">
      <c r="B1377" t="n">
        <v>0.17378</v>
      </c>
      <c r="C1377" t="n">
        <v>0.15388</v>
      </c>
    </row>
    <row r="1378">
      <c r="B1378" t="n">
        <v>0.19878</v>
      </c>
      <c r="C1378" t="n">
        <v>0.18822</v>
      </c>
    </row>
    <row r="1379">
      <c r="B1379" t="n">
        <v>0.16947</v>
      </c>
      <c r="C1379" t="n">
        <v>0.14741</v>
      </c>
    </row>
    <row r="1380">
      <c r="B1380" t="n">
        <v>0.16979</v>
      </c>
      <c r="C1380" t="n">
        <v>0.16861</v>
      </c>
    </row>
    <row r="1381">
      <c r="B1381" t="n">
        <v>0.26333</v>
      </c>
      <c r="C1381" t="n">
        <v>0.21339</v>
      </c>
    </row>
    <row r="1382">
      <c r="B1382" t="n">
        <v>0.18022</v>
      </c>
      <c r="C1382" t="n">
        <v>0.16005</v>
      </c>
    </row>
    <row r="1383">
      <c r="B1383" t="n">
        <v>0.17324</v>
      </c>
      <c r="C1383" t="n">
        <v>0.15142</v>
      </c>
    </row>
    <row r="1384">
      <c r="B1384" t="n">
        <v>0.20372</v>
      </c>
      <c r="C1384" t="n">
        <v>0.16243</v>
      </c>
    </row>
    <row r="1385">
      <c r="B1385" t="n">
        <v>0.16892</v>
      </c>
      <c r="C1385" t="n">
        <v>0.15715</v>
      </c>
    </row>
    <row r="1386">
      <c r="B1386" t="n">
        <v>0.17011</v>
      </c>
      <c r="C1386" t="n">
        <v>0.15663</v>
      </c>
    </row>
    <row r="1387">
      <c r="B1387" t="n">
        <v>0.17634</v>
      </c>
      <c r="C1387" t="n">
        <v>0.15509</v>
      </c>
    </row>
    <row r="1388">
      <c r="B1388" t="n">
        <v>0.18826</v>
      </c>
      <c r="C1388" t="n">
        <v>0.15283</v>
      </c>
    </row>
    <row r="1389">
      <c r="B1389" t="n">
        <v>0.20393</v>
      </c>
      <c r="C1389" t="n">
        <v>0.15854</v>
      </c>
    </row>
    <row r="1390">
      <c r="B1390" t="n">
        <v>0.15732</v>
      </c>
      <c r="C1390" t="n">
        <v>0.15053</v>
      </c>
    </row>
    <row r="1391">
      <c r="B1391" t="n">
        <v>0.19419</v>
      </c>
      <c r="C1391" t="n">
        <v>0.15843</v>
      </c>
    </row>
    <row r="1392">
      <c r="B1392" t="n">
        <v>0.18146</v>
      </c>
      <c r="C1392" t="n">
        <v>0.17122</v>
      </c>
    </row>
    <row r="1393">
      <c r="B1393" t="n">
        <v>0.18264</v>
      </c>
      <c r="C1393" t="n">
        <v>0.15425</v>
      </c>
    </row>
    <row r="1394">
      <c r="B1394" t="n">
        <v>0.18126</v>
      </c>
      <c r="C1394" t="n">
        <v>0.163</v>
      </c>
    </row>
    <row r="1395">
      <c r="B1395" t="n">
        <v>0.20566</v>
      </c>
      <c r="C1395" t="n">
        <v>0.16214</v>
      </c>
    </row>
    <row r="1396">
      <c r="B1396" t="n">
        <v>0.20666</v>
      </c>
      <c r="C1396" t="n">
        <v>0.15998</v>
      </c>
    </row>
    <row r="1397">
      <c r="B1397" t="n">
        <v>0.21451</v>
      </c>
      <c r="C1397" t="n">
        <v>0.18856</v>
      </c>
    </row>
    <row r="1398">
      <c r="B1398" t="n">
        <v>0.16917</v>
      </c>
      <c r="C1398" t="n">
        <v>0.15385</v>
      </c>
    </row>
    <row r="1399">
      <c r="B1399" t="n">
        <v>0.20185</v>
      </c>
      <c r="C1399" t="n">
        <v>0.15193</v>
      </c>
    </row>
    <row r="1400">
      <c r="B1400" t="n">
        <v>0.2096</v>
      </c>
      <c r="C1400" t="n">
        <v>0.15467</v>
      </c>
    </row>
    <row r="1401">
      <c r="B1401" t="n">
        <v>0.17022</v>
      </c>
      <c r="C1401" t="n">
        <v>0.15834</v>
      </c>
    </row>
    <row r="1402">
      <c r="B1402" t="n">
        <v>0.18349</v>
      </c>
      <c r="C1402" t="n">
        <v>0.16165</v>
      </c>
    </row>
    <row r="1403">
      <c r="B1403" t="n">
        <v>0.18654</v>
      </c>
      <c r="C1403" t="n">
        <v>0.16683</v>
      </c>
    </row>
    <row r="1404">
      <c r="B1404" t="n">
        <v>0.1573</v>
      </c>
      <c r="C1404" t="n">
        <v>0.13892</v>
      </c>
    </row>
    <row r="1405">
      <c r="B1405" t="n">
        <v>0.21428</v>
      </c>
      <c r="C1405" t="n">
        <v>0.19495</v>
      </c>
    </row>
    <row r="1406">
      <c r="B1406" t="n">
        <v>0.18834</v>
      </c>
      <c r="C1406" t="n">
        <v>0.18172</v>
      </c>
    </row>
    <row r="1407">
      <c r="B1407" t="n">
        <v>0.19519</v>
      </c>
      <c r="C1407" t="n">
        <v>0.17366</v>
      </c>
    </row>
    <row r="1408">
      <c r="B1408" t="n">
        <v>0.20766</v>
      </c>
      <c r="C1408" t="n">
        <v>0.18565</v>
      </c>
    </row>
    <row r="1409">
      <c r="B1409" t="n">
        <v>0.21537</v>
      </c>
      <c r="C1409" t="n">
        <v>0.17462</v>
      </c>
    </row>
    <row r="1410">
      <c r="B1410" t="n">
        <v>0.22528</v>
      </c>
      <c r="C1410" t="n">
        <v>0.15863</v>
      </c>
    </row>
    <row r="1411">
      <c r="B1411" t="n">
        <v>0.15279</v>
      </c>
      <c r="C1411" t="n">
        <v>0.14476</v>
      </c>
    </row>
    <row r="1412">
      <c r="B1412" t="n">
        <v>0.20503</v>
      </c>
      <c r="C1412" t="n">
        <v>0.188</v>
      </c>
    </row>
    <row r="1413">
      <c r="B1413" t="n">
        <v>0.21606</v>
      </c>
      <c r="C1413" t="n">
        <v>0.17175</v>
      </c>
    </row>
    <row r="1414">
      <c r="B1414" t="n">
        <v>0.18437</v>
      </c>
      <c r="C1414" t="n">
        <v>0.15535</v>
      </c>
    </row>
    <row r="1415">
      <c r="B1415" t="n">
        <v>0.16521</v>
      </c>
      <c r="C1415" t="n">
        <v>0.15095</v>
      </c>
    </row>
    <row r="1416">
      <c r="B1416" t="n">
        <v>0.17203</v>
      </c>
      <c r="C1416" t="n">
        <v>0.15134</v>
      </c>
    </row>
    <row r="1417">
      <c r="B1417" t="n">
        <v>0.18732</v>
      </c>
      <c r="C1417" t="n">
        <v>0.17727</v>
      </c>
    </row>
    <row r="1418">
      <c r="B1418" t="n">
        <v>0.1693</v>
      </c>
      <c r="C1418" t="n">
        <v>0.16546</v>
      </c>
    </row>
    <row r="1419">
      <c r="B1419" t="n">
        <v>0.21389</v>
      </c>
      <c r="C1419" t="n">
        <v>0.18931</v>
      </c>
    </row>
    <row r="1420">
      <c r="B1420" t="n">
        <v>0.19952</v>
      </c>
      <c r="C1420" t="n">
        <v>0.17118</v>
      </c>
    </row>
    <row r="1421">
      <c r="B1421" t="n">
        <v>0.16977</v>
      </c>
      <c r="C1421" t="n">
        <v>0.14816</v>
      </c>
    </row>
    <row r="1422">
      <c r="B1422" t="n">
        <v>0.1835</v>
      </c>
      <c r="C1422" t="n">
        <v>0.15558</v>
      </c>
    </row>
    <row r="1423">
      <c r="B1423" t="n">
        <v>0.20995</v>
      </c>
      <c r="C1423" t="n">
        <v>0.18085</v>
      </c>
    </row>
    <row r="1424">
      <c r="B1424" t="n">
        <v>0.16949</v>
      </c>
      <c r="C1424" t="n">
        <v>0.15918</v>
      </c>
    </row>
    <row r="1425">
      <c r="B1425" t="n">
        <v>0.19623</v>
      </c>
      <c r="C1425" t="n">
        <v>0.18174</v>
      </c>
    </row>
    <row r="1426">
      <c r="B1426" t="n">
        <v>0.16778</v>
      </c>
      <c r="C1426" t="n">
        <v>0.16092</v>
      </c>
    </row>
    <row r="1427">
      <c r="B1427" t="n">
        <v>0.17402</v>
      </c>
      <c r="C1427" t="n">
        <v>0.16144</v>
      </c>
    </row>
    <row r="1428">
      <c r="B1428" t="n">
        <v>0.1811</v>
      </c>
      <c r="C1428" t="n">
        <v>0.152</v>
      </c>
    </row>
    <row r="1429">
      <c r="B1429" t="n">
        <v>0.18701</v>
      </c>
      <c r="C1429" t="n">
        <v>0.15882</v>
      </c>
    </row>
    <row r="1430">
      <c r="B1430" t="n">
        <v>0.16536</v>
      </c>
      <c r="C1430" t="n">
        <v>0.15489</v>
      </c>
    </row>
    <row r="1431">
      <c r="B1431" t="n">
        <v>0.16697</v>
      </c>
      <c r="C1431" t="n">
        <v>0.16679</v>
      </c>
    </row>
    <row r="1432">
      <c r="B1432" t="n">
        <v>0.18438</v>
      </c>
      <c r="C1432" t="n">
        <v>0.17155</v>
      </c>
    </row>
    <row r="1433">
      <c r="B1433" t="n">
        <v>0.20133</v>
      </c>
      <c r="C1433" t="n">
        <v>0.16214</v>
      </c>
    </row>
    <row r="1434">
      <c r="B1434" t="n">
        <v>0.19058</v>
      </c>
      <c r="C1434" t="n">
        <v>0.1758</v>
      </c>
    </row>
    <row r="1435">
      <c r="B1435" t="n">
        <v>0.18201</v>
      </c>
      <c r="C1435" t="n">
        <v>0.1554</v>
      </c>
    </row>
    <row r="1436">
      <c r="B1436" t="n">
        <v>0.19864</v>
      </c>
      <c r="C1436" t="n">
        <v>0.1508</v>
      </c>
    </row>
    <row r="1437">
      <c r="B1437" t="n">
        <v>0.18589</v>
      </c>
      <c r="C1437" t="n">
        <v>0.15062</v>
      </c>
    </row>
    <row r="1438">
      <c r="B1438" t="n">
        <v>0.18564</v>
      </c>
      <c r="C1438" t="n">
        <v>0.1491</v>
      </c>
    </row>
    <row r="1439">
      <c r="B1439" t="n">
        <v>0.17439</v>
      </c>
      <c r="C1439" t="n">
        <v>0.16645</v>
      </c>
    </row>
    <row r="1440">
      <c r="B1440" t="n">
        <v>0.17178</v>
      </c>
      <c r="C1440" t="n">
        <v>0.16122</v>
      </c>
    </row>
    <row r="1441">
      <c r="B1441" t="n">
        <v>0.1782</v>
      </c>
      <c r="C1441" t="n">
        <v>0.16286</v>
      </c>
    </row>
    <row r="1442">
      <c r="B1442" t="n">
        <v>0.16436</v>
      </c>
      <c r="C1442" t="n">
        <v>0.15051</v>
      </c>
    </row>
    <row r="1443">
      <c r="B1443" t="n">
        <v>0.18028</v>
      </c>
      <c r="C1443" t="n">
        <v>0.17696</v>
      </c>
    </row>
    <row r="1444">
      <c r="B1444" t="n">
        <v>0.16529</v>
      </c>
      <c r="C1444" t="n">
        <v>0.15134</v>
      </c>
    </row>
    <row r="1445">
      <c r="B1445" t="n">
        <v>0.16679</v>
      </c>
      <c r="C1445" t="n">
        <v>0.14033</v>
      </c>
    </row>
    <row r="1446">
      <c r="B1446" t="n">
        <v>0.1996</v>
      </c>
      <c r="C1446" t="n">
        <v>0.18513</v>
      </c>
    </row>
    <row r="1447">
      <c r="B1447" t="n">
        <v>0.18599</v>
      </c>
      <c r="C1447" t="n">
        <v>0.15468</v>
      </c>
    </row>
    <row r="1448">
      <c r="B1448" t="n">
        <v>0.2159</v>
      </c>
      <c r="C1448" t="n">
        <v>0.16478</v>
      </c>
    </row>
    <row r="1449">
      <c r="B1449" t="n">
        <v>0.15404</v>
      </c>
      <c r="C1449" t="n">
        <v>0.14577</v>
      </c>
    </row>
    <row r="1450">
      <c r="B1450" t="n">
        <v>0.17445</v>
      </c>
      <c r="C1450" t="n">
        <v>0.1531</v>
      </c>
    </row>
    <row r="1451">
      <c r="B1451" t="n">
        <v>0.2334</v>
      </c>
      <c r="C1451" t="n">
        <v>0.15644</v>
      </c>
    </row>
    <row r="1452">
      <c r="B1452" t="n">
        <v>0.20894</v>
      </c>
      <c r="C1452" t="n">
        <v>0.16226</v>
      </c>
    </row>
    <row r="1453">
      <c r="B1453" t="n">
        <v>0.1776</v>
      </c>
      <c r="C1453" t="n">
        <v>0.16574</v>
      </c>
    </row>
    <row r="1454">
      <c r="B1454" t="n">
        <v>0.18137</v>
      </c>
      <c r="C1454" t="n">
        <v>0.15642</v>
      </c>
    </row>
    <row r="1455">
      <c r="B1455" t="n">
        <v>0.20359</v>
      </c>
      <c r="C1455" t="n">
        <v>0.18762</v>
      </c>
    </row>
    <row r="1456">
      <c r="B1456" t="n">
        <v>0.20632</v>
      </c>
      <c r="C1456" t="n">
        <v>0.15176</v>
      </c>
    </row>
    <row r="1457">
      <c r="B1457" t="n">
        <v>0.16232</v>
      </c>
      <c r="C1457" t="n">
        <v>0.14067</v>
      </c>
    </row>
    <row r="1458">
      <c r="B1458" t="n">
        <v>0.19204</v>
      </c>
      <c r="C1458" t="n">
        <v>0.18022</v>
      </c>
    </row>
    <row r="1459">
      <c r="B1459" t="n">
        <v>0.1699</v>
      </c>
      <c r="C1459" t="n">
        <v>0.15997</v>
      </c>
    </row>
    <row r="1460">
      <c r="B1460" t="n">
        <v>0.18938</v>
      </c>
      <c r="C1460" t="n">
        <v>0.16479</v>
      </c>
    </row>
    <row r="1461">
      <c r="B1461" t="n">
        <v>0.18741</v>
      </c>
      <c r="C1461" t="n">
        <v>0.17657</v>
      </c>
    </row>
    <row r="1462">
      <c r="B1462" t="n">
        <v>0.15221</v>
      </c>
      <c r="C1462" t="n">
        <v>0.14572</v>
      </c>
    </row>
    <row r="1463">
      <c r="B1463" t="n">
        <v>0.18126</v>
      </c>
      <c r="C1463" t="n">
        <v>0.1747</v>
      </c>
    </row>
    <row r="1464">
      <c r="B1464" t="n">
        <v>0.15683</v>
      </c>
      <c r="C1464" t="n">
        <v>0.13733</v>
      </c>
    </row>
    <row r="1465">
      <c r="B1465" t="n">
        <v>0.18287</v>
      </c>
      <c r="C1465" t="n">
        <v>0.16128</v>
      </c>
    </row>
    <row r="1466">
      <c r="B1466" t="n">
        <v>0.16383</v>
      </c>
      <c r="C1466" t="n">
        <v>0.15339</v>
      </c>
    </row>
    <row r="1467">
      <c r="B1467" t="n">
        <v>0.188</v>
      </c>
      <c r="C1467" t="n">
        <v>0.1606</v>
      </c>
    </row>
    <row r="1468">
      <c r="B1468" t="n">
        <v>0.21688</v>
      </c>
      <c r="C1468" t="n">
        <v>0.19445</v>
      </c>
    </row>
    <row r="1469">
      <c r="B1469" t="n">
        <v>0.15631</v>
      </c>
      <c r="C1469" t="n">
        <v>0.14687</v>
      </c>
    </row>
    <row r="1470">
      <c r="B1470" t="n">
        <v>0.18558</v>
      </c>
      <c r="C1470" t="n">
        <v>0.15176</v>
      </c>
    </row>
    <row r="1471">
      <c r="B1471" t="n">
        <v>0.18843</v>
      </c>
      <c r="C1471" t="n">
        <v>0.17432</v>
      </c>
    </row>
    <row r="1472">
      <c r="B1472" t="n">
        <v>0.20284</v>
      </c>
      <c r="C1472" t="n">
        <v>0.17013</v>
      </c>
    </row>
    <row r="1473">
      <c r="B1473" t="n">
        <v>0.15499</v>
      </c>
      <c r="C1473" t="n">
        <v>0.1516</v>
      </c>
    </row>
    <row r="1474">
      <c r="B1474" t="n">
        <v>0.17783</v>
      </c>
      <c r="C1474" t="n">
        <v>0.15122</v>
      </c>
    </row>
    <row r="1475">
      <c r="B1475" t="n">
        <v>0.18681</v>
      </c>
      <c r="C1475" t="n">
        <v>0.16637</v>
      </c>
    </row>
    <row r="1476">
      <c r="B1476" t="n">
        <v>0.17465</v>
      </c>
      <c r="C1476" t="n">
        <v>0.15581</v>
      </c>
    </row>
    <row r="1477">
      <c r="B1477" t="n">
        <v>0.15909</v>
      </c>
      <c r="C1477" t="n">
        <v>0.14007</v>
      </c>
    </row>
    <row r="1478">
      <c r="B1478" t="n">
        <v>0.19442</v>
      </c>
      <c r="C1478" t="n">
        <v>0.15974</v>
      </c>
    </row>
    <row r="1479">
      <c r="B1479" t="n">
        <v>0.19468</v>
      </c>
      <c r="C1479" t="n">
        <v>0.1653</v>
      </c>
    </row>
    <row r="1480">
      <c r="B1480" t="n">
        <v>0.17695</v>
      </c>
      <c r="C1480" t="n">
        <v>0.16399</v>
      </c>
    </row>
    <row r="1481">
      <c r="B1481" t="n">
        <v>0.15799</v>
      </c>
      <c r="C1481" t="n">
        <v>0.14864</v>
      </c>
    </row>
    <row r="1482">
      <c r="B1482" t="n">
        <v>0.20283</v>
      </c>
      <c r="C1482" t="n">
        <v>0.18981</v>
      </c>
    </row>
    <row r="1483">
      <c r="B1483" t="n">
        <v>0.15777</v>
      </c>
      <c r="C1483" t="n">
        <v>0.14038</v>
      </c>
    </row>
    <row r="1484">
      <c r="B1484" t="n">
        <v>0.20417</v>
      </c>
      <c r="C1484" t="n">
        <v>0.17092</v>
      </c>
    </row>
    <row r="1485">
      <c r="B1485" t="n">
        <v>0.18286</v>
      </c>
      <c r="C1485" t="n">
        <v>0.16731</v>
      </c>
    </row>
    <row r="1486">
      <c r="B1486" t="n">
        <v>0.16911</v>
      </c>
      <c r="C1486" t="n">
        <v>0.15282</v>
      </c>
    </row>
    <row r="1487">
      <c r="B1487" t="n">
        <v>0.22917</v>
      </c>
      <c r="C1487" t="n">
        <v>0.16528</v>
      </c>
    </row>
    <row r="1488">
      <c r="B1488" t="n">
        <v>0.18278</v>
      </c>
      <c r="C1488" t="n">
        <v>0.14414</v>
      </c>
    </row>
    <row r="1489">
      <c r="B1489" t="n">
        <v>0.21477</v>
      </c>
      <c r="C1489" t="n">
        <v>0.19356</v>
      </c>
    </row>
    <row r="1490">
      <c r="B1490" t="n">
        <v>0.21136</v>
      </c>
      <c r="C1490" t="n">
        <v>0.19448</v>
      </c>
    </row>
    <row r="1491">
      <c r="B1491" t="n">
        <v>0.19261</v>
      </c>
      <c r="C1491" t="n">
        <v>0.16712</v>
      </c>
    </row>
    <row r="1492">
      <c r="B1492" t="n">
        <v>0.17196</v>
      </c>
      <c r="C1492" t="n">
        <v>0.1701</v>
      </c>
    </row>
    <row r="1493">
      <c r="B1493" t="n">
        <v>0.21682</v>
      </c>
      <c r="C1493" t="n">
        <v>0.19355</v>
      </c>
    </row>
    <row r="1494">
      <c r="B1494" t="n">
        <v>0.20959</v>
      </c>
      <c r="C1494" t="n">
        <v>0.19091</v>
      </c>
    </row>
    <row r="1495">
      <c r="B1495" t="n">
        <v>0.19403</v>
      </c>
      <c r="C1495" t="n">
        <v>0.16582</v>
      </c>
    </row>
    <row r="1496">
      <c r="B1496" t="n">
        <v>0.1711</v>
      </c>
      <c r="C1496" t="n">
        <v>0.16031</v>
      </c>
    </row>
    <row r="1497">
      <c r="B1497" t="n">
        <v>0.16983</v>
      </c>
      <c r="C1497" t="n">
        <v>0.1656</v>
      </c>
    </row>
    <row r="1498">
      <c r="B1498" t="n">
        <v>0.18249</v>
      </c>
      <c r="C1498" t="n">
        <v>0.17828</v>
      </c>
    </row>
    <row r="1499">
      <c r="B1499" t="n">
        <v>0.18386</v>
      </c>
      <c r="C1499" t="n">
        <v>0.15708</v>
      </c>
    </row>
    <row r="1500">
      <c r="B1500" t="n">
        <v>0.18345</v>
      </c>
      <c r="C1500" t="n">
        <v>0.16841</v>
      </c>
    </row>
    <row r="1501">
      <c r="B1501" t="n">
        <v>0.16454</v>
      </c>
      <c r="C1501" t="n">
        <v>0.15913</v>
      </c>
    </row>
    <row r="1502">
      <c r="B1502" t="n">
        <v>0.21856</v>
      </c>
      <c r="C1502" t="n">
        <v>0.16094</v>
      </c>
    </row>
    <row r="1503">
      <c r="B1503" t="n">
        <v>0.20487</v>
      </c>
      <c r="C1503" t="n">
        <v>0.17588</v>
      </c>
    </row>
    <row r="1504">
      <c r="B1504" t="n">
        <v>0.17693</v>
      </c>
      <c r="C1504" t="n">
        <v>0.16762</v>
      </c>
    </row>
    <row r="1505">
      <c r="B1505" t="n">
        <v>0.24289</v>
      </c>
      <c r="C1505" t="n">
        <v>0.17041</v>
      </c>
    </row>
    <row r="1506">
      <c r="B1506" t="n">
        <v>0.15502</v>
      </c>
      <c r="C1506" t="n">
        <v>0.14969</v>
      </c>
    </row>
    <row r="1507">
      <c r="B1507" t="n">
        <v>0.16504</v>
      </c>
      <c r="C1507" t="n">
        <v>0.16385</v>
      </c>
    </row>
    <row r="1508">
      <c r="B1508" t="n">
        <v>0.17938</v>
      </c>
      <c r="C1508" t="n">
        <v>0.17596</v>
      </c>
    </row>
    <row r="1509">
      <c r="B1509" t="n">
        <v>0.17534</v>
      </c>
      <c r="C1509" t="n">
        <v>0.15622</v>
      </c>
    </row>
    <row r="1510">
      <c r="B1510" t="n">
        <v>0.21807</v>
      </c>
      <c r="C1510" t="n">
        <v>0.19329</v>
      </c>
    </row>
    <row r="1511">
      <c r="B1511" t="n">
        <v>0.16475</v>
      </c>
      <c r="C1511" t="n">
        <v>0.15861</v>
      </c>
    </row>
    <row r="1512">
      <c r="B1512" t="n">
        <v>0.1753</v>
      </c>
      <c r="C1512" t="n">
        <v>0.16028</v>
      </c>
    </row>
    <row r="1513">
      <c r="B1513" t="n">
        <v>0.16804</v>
      </c>
      <c r="C1513" t="n">
        <v>0.14936</v>
      </c>
    </row>
    <row r="1514">
      <c r="B1514" t="n">
        <v>0.18674</v>
      </c>
      <c r="C1514" t="n">
        <v>0.17967</v>
      </c>
    </row>
    <row r="1515">
      <c r="B1515" t="n">
        <v>0.19194</v>
      </c>
      <c r="C1515" t="n">
        <v>0.15821</v>
      </c>
    </row>
    <row r="1516">
      <c r="B1516" t="n">
        <v>0.18705</v>
      </c>
      <c r="C1516" t="n">
        <v>0.18169</v>
      </c>
    </row>
    <row r="1517">
      <c r="B1517" t="n">
        <v>0.1872</v>
      </c>
      <c r="C1517" t="n">
        <v>0.1787</v>
      </c>
    </row>
    <row r="1518">
      <c r="B1518" t="n">
        <v>0.17898</v>
      </c>
      <c r="C1518" t="n">
        <v>0.17467</v>
      </c>
    </row>
    <row r="1519">
      <c r="B1519" t="n">
        <v>0.16796</v>
      </c>
      <c r="C1519" t="n">
        <v>0.15334</v>
      </c>
    </row>
    <row r="1520">
      <c r="B1520" t="n">
        <v>0.18279</v>
      </c>
      <c r="C1520" t="n">
        <v>0.17559</v>
      </c>
    </row>
    <row r="1521">
      <c r="B1521" t="n">
        <v>0.17693</v>
      </c>
      <c r="C1521" t="n">
        <v>0.1755</v>
      </c>
    </row>
    <row r="1522">
      <c r="B1522" t="n">
        <v>0.16398</v>
      </c>
      <c r="C1522" t="n">
        <v>0.15392</v>
      </c>
    </row>
    <row r="1523">
      <c r="B1523" t="n">
        <v>0.22009</v>
      </c>
      <c r="C1523" t="n">
        <v>0.17923</v>
      </c>
    </row>
    <row r="1524">
      <c r="B1524" t="n">
        <v>0.15326</v>
      </c>
      <c r="C1524" t="n">
        <v>0.14158</v>
      </c>
    </row>
    <row r="1525">
      <c r="B1525" t="n">
        <v>0.18527</v>
      </c>
      <c r="C1525" t="n">
        <v>0.16996</v>
      </c>
    </row>
    <row r="1526">
      <c r="B1526" t="n">
        <v>0.1548</v>
      </c>
      <c r="C1526" t="n">
        <v>0.1416</v>
      </c>
    </row>
    <row r="1527">
      <c r="B1527" t="n">
        <v>0.18506</v>
      </c>
      <c r="C1527" t="n">
        <v>0.17882</v>
      </c>
    </row>
    <row r="1528">
      <c r="B1528" t="n">
        <v>0.20988</v>
      </c>
      <c r="C1528" t="n">
        <v>0.19097</v>
      </c>
    </row>
    <row r="1529">
      <c r="B1529" t="n">
        <v>0.15696</v>
      </c>
      <c r="C1529" t="n">
        <v>0.1473</v>
      </c>
    </row>
    <row r="1530">
      <c r="B1530" t="n">
        <v>0.23555</v>
      </c>
      <c r="C1530" t="n">
        <v>0.20413</v>
      </c>
    </row>
    <row r="1531">
      <c r="B1531" t="n">
        <v>0.29024</v>
      </c>
      <c r="C1531" t="n">
        <v>0.22213</v>
      </c>
    </row>
    <row r="1532">
      <c r="B1532" t="n">
        <v>0.1804</v>
      </c>
      <c r="C1532" t="n">
        <v>0.16028</v>
      </c>
    </row>
    <row r="1533">
      <c r="B1533" t="n">
        <v>0.18023</v>
      </c>
      <c r="C1533" t="n">
        <v>0.17593</v>
      </c>
    </row>
    <row r="1534">
      <c r="B1534" t="n">
        <v>0.17941</v>
      </c>
      <c r="C1534" t="n">
        <v>0.15586</v>
      </c>
    </row>
    <row r="1535">
      <c r="B1535" t="n">
        <v>0.16228</v>
      </c>
      <c r="C1535" t="n">
        <v>0.1476</v>
      </c>
    </row>
    <row r="1536">
      <c r="B1536" t="n">
        <v>0.19297</v>
      </c>
      <c r="C1536" t="n">
        <v>0.16164</v>
      </c>
    </row>
    <row r="1537">
      <c r="B1537" t="n">
        <v>0.21246</v>
      </c>
      <c r="C1537" t="n">
        <v>0.16965</v>
      </c>
    </row>
    <row r="1538">
      <c r="B1538" t="n">
        <v>0.17262</v>
      </c>
      <c r="C1538" t="n">
        <v>0.16166</v>
      </c>
    </row>
    <row r="1539">
      <c r="B1539" t="n">
        <v>0.19182</v>
      </c>
      <c r="C1539" t="n">
        <v>0.15045</v>
      </c>
    </row>
    <row r="1540">
      <c r="B1540" t="n">
        <v>0.15931</v>
      </c>
      <c r="C1540" t="n">
        <v>0.15337</v>
      </c>
    </row>
    <row r="1541">
      <c r="B1541" t="n">
        <v>0.17547</v>
      </c>
      <c r="C1541" t="n">
        <v>0.17019</v>
      </c>
    </row>
    <row r="1542">
      <c r="B1542" t="n">
        <v>0.18277</v>
      </c>
      <c r="C1542" t="n">
        <v>0.17569</v>
      </c>
    </row>
    <row r="1543">
      <c r="B1543" t="n">
        <v>0.17211</v>
      </c>
      <c r="C1543" t="n">
        <v>0.15694</v>
      </c>
    </row>
    <row r="1544">
      <c r="B1544" t="n">
        <v>0.21059</v>
      </c>
      <c r="C1544" t="n">
        <v>0.18101</v>
      </c>
    </row>
    <row r="1545">
      <c r="B1545" t="n">
        <v>0.17247</v>
      </c>
      <c r="C1545" t="n">
        <v>0.16076</v>
      </c>
    </row>
    <row r="1546">
      <c r="B1546" t="n">
        <v>0.18515</v>
      </c>
      <c r="C1546" t="n">
        <v>0.17256</v>
      </c>
    </row>
    <row r="1547">
      <c r="B1547" t="n">
        <v>0.1809</v>
      </c>
      <c r="C1547" t="n">
        <v>0.15918</v>
      </c>
    </row>
    <row r="1548">
      <c r="B1548" t="n">
        <v>0.19159</v>
      </c>
      <c r="C1548" t="n">
        <v>0.14463</v>
      </c>
    </row>
    <row r="1549">
      <c r="B1549" t="n">
        <v>0.18269</v>
      </c>
      <c r="C1549" t="n">
        <v>0.15538</v>
      </c>
    </row>
    <row r="1550">
      <c r="B1550" t="n">
        <v>0.24918</v>
      </c>
      <c r="C1550" t="n">
        <v>0.20794</v>
      </c>
    </row>
    <row r="1551">
      <c r="B1551" t="n">
        <v>0.22066</v>
      </c>
      <c r="C1551" t="n">
        <v>0.15584</v>
      </c>
    </row>
    <row r="1552">
      <c r="B1552" t="n">
        <v>0.1781</v>
      </c>
      <c r="C1552" t="n">
        <v>0.16703</v>
      </c>
    </row>
    <row r="1553">
      <c r="B1553" t="n">
        <v>0.18065</v>
      </c>
      <c r="C1553" t="n">
        <v>0.17428</v>
      </c>
    </row>
    <row r="1554">
      <c r="B1554" t="n">
        <v>0.19123</v>
      </c>
      <c r="C1554" t="n">
        <v>0.15988</v>
      </c>
    </row>
    <row r="1555">
      <c r="B1555" t="n">
        <v>0.16668</v>
      </c>
      <c r="C1555" t="n">
        <v>0.16248</v>
      </c>
    </row>
    <row r="1556">
      <c r="B1556" t="n">
        <v>0.18874</v>
      </c>
      <c r="C1556" t="n">
        <v>0.17715</v>
      </c>
    </row>
    <row r="1557">
      <c r="B1557" t="n">
        <v>0.17591</v>
      </c>
      <c r="C1557" t="n">
        <v>0.17005</v>
      </c>
    </row>
    <row r="1558">
      <c r="B1558" t="n">
        <v>0.18265</v>
      </c>
      <c r="C1558" t="n">
        <v>0.17736</v>
      </c>
    </row>
    <row r="1559">
      <c r="B1559" t="n">
        <v>0.17158</v>
      </c>
      <c r="C1559" t="n">
        <v>0.14778</v>
      </c>
    </row>
    <row r="1560">
      <c r="B1560" t="n">
        <v>0.15425</v>
      </c>
      <c r="C1560" t="n">
        <v>0.13507</v>
      </c>
    </row>
    <row r="1561">
      <c r="B1561" t="n">
        <v>0.20576</v>
      </c>
      <c r="C1561" t="n">
        <v>0.16324</v>
      </c>
    </row>
    <row r="1562">
      <c r="B1562" t="n">
        <v>0.1671</v>
      </c>
      <c r="C1562" t="n">
        <v>0.16095</v>
      </c>
    </row>
    <row r="1563">
      <c r="B1563" t="n">
        <v>0.17574</v>
      </c>
      <c r="C1563" t="n">
        <v>0.16969</v>
      </c>
    </row>
    <row r="1564">
      <c r="B1564" t="n">
        <v>0.18795</v>
      </c>
      <c r="C1564" t="n">
        <v>0.15885</v>
      </c>
    </row>
    <row r="1565">
      <c r="B1565" t="n">
        <v>0.19718</v>
      </c>
      <c r="C1565" t="n">
        <v>0.14644</v>
      </c>
    </row>
    <row r="1566">
      <c r="B1566" t="n">
        <v>0.25335</v>
      </c>
      <c r="C1566" t="n">
        <v>0.21126</v>
      </c>
    </row>
    <row r="1567">
      <c r="B1567" t="n">
        <v>0.19235</v>
      </c>
      <c r="C1567" t="n">
        <v>0.14934</v>
      </c>
    </row>
    <row r="1568">
      <c r="B1568" t="n">
        <v>0.20683</v>
      </c>
      <c r="C1568" t="n">
        <v>0.17811</v>
      </c>
    </row>
    <row r="1569">
      <c r="B1569" t="n">
        <v>0.16613</v>
      </c>
      <c r="C1569" t="n">
        <v>0.14775</v>
      </c>
    </row>
    <row r="1570">
      <c r="B1570" t="n">
        <v>0.18669</v>
      </c>
      <c r="C1570" t="n">
        <v>0.15073</v>
      </c>
    </row>
    <row r="1571">
      <c r="B1571" t="n">
        <v>0.22616</v>
      </c>
      <c r="C1571" t="n">
        <v>0.16509</v>
      </c>
    </row>
    <row r="1572">
      <c r="B1572" t="n">
        <v>0.1854</v>
      </c>
      <c r="C1572" t="n">
        <v>0.17414</v>
      </c>
    </row>
    <row r="1573">
      <c r="B1573" t="n">
        <v>0.17614</v>
      </c>
      <c r="C1573" t="n">
        <v>0.16045</v>
      </c>
    </row>
    <row r="1574">
      <c r="B1574" t="n">
        <v>0.19025</v>
      </c>
      <c r="C1574" t="n">
        <v>0.18338</v>
      </c>
    </row>
    <row r="1575">
      <c r="B1575" t="n">
        <v>0.17734</v>
      </c>
      <c r="C1575" t="n">
        <v>0.17607</v>
      </c>
    </row>
    <row r="1576">
      <c r="B1576" t="n">
        <v>0.18568</v>
      </c>
      <c r="C1576" t="n">
        <v>0.16489</v>
      </c>
    </row>
    <row r="1577">
      <c r="B1577" t="n">
        <v>0.18508</v>
      </c>
      <c r="C1577" t="n">
        <v>0.176</v>
      </c>
    </row>
    <row r="1578">
      <c r="B1578" t="n">
        <v>0.17269</v>
      </c>
      <c r="C1578" t="n">
        <v>0.1574</v>
      </c>
    </row>
    <row r="1579">
      <c r="B1579" t="n">
        <v>0.17486</v>
      </c>
      <c r="C1579" t="n">
        <v>0.16252</v>
      </c>
    </row>
    <row r="1580">
      <c r="B1580" t="n">
        <v>0.18703</v>
      </c>
      <c r="C1580" t="n">
        <v>0.17645</v>
      </c>
    </row>
    <row r="1581">
      <c r="B1581" t="n">
        <v>0.1692</v>
      </c>
      <c r="C1581" t="n">
        <v>0.1477</v>
      </c>
    </row>
    <row r="1582">
      <c r="B1582" t="n">
        <v>0.21361</v>
      </c>
      <c r="C1582" t="n">
        <v>0.16444</v>
      </c>
    </row>
    <row r="1583">
      <c r="B1583" t="n">
        <v>0.26566</v>
      </c>
      <c r="C1583" t="n">
        <v>0.16925</v>
      </c>
    </row>
    <row r="1584">
      <c r="B1584" t="n">
        <v>0.20473</v>
      </c>
      <c r="C1584" t="n">
        <v>0.15971</v>
      </c>
    </row>
    <row r="1585">
      <c r="B1585" t="n">
        <v>0.18406</v>
      </c>
      <c r="C1585" t="n">
        <v>0.16145</v>
      </c>
    </row>
    <row r="1586">
      <c r="B1586" t="n">
        <v>0.17881</v>
      </c>
      <c r="C1586" t="n">
        <v>0.1711</v>
      </c>
    </row>
    <row r="1587">
      <c r="B1587" t="n">
        <v>0.21797</v>
      </c>
      <c r="C1587" t="n">
        <v>0.16171</v>
      </c>
    </row>
    <row r="1588">
      <c r="B1588" t="n">
        <v>0.19641</v>
      </c>
      <c r="C1588" t="n">
        <v>0.1632</v>
      </c>
    </row>
    <row r="1589">
      <c r="B1589" t="n">
        <v>0.19803</v>
      </c>
      <c r="C1589" t="n">
        <v>0.15703</v>
      </c>
    </row>
    <row r="1590">
      <c r="B1590" t="n">
        <v>0.17217</v>
      </c>
      <c r="C1590" t="n">
        <v>0.15526</v>
      </c>
    </row>
    <row r="1591">
      <c r="B1591" t="n">
        <v>0.19326</v>
      </c>
      <c r="C1591" t="n">
        <v>0.17138</v>
      </c>
    </row>
    <row r="1592">
      <c r="B1592" t="n">
        <v>0.21592</v>
      </c>
      <c r="C1592" t="n">
        <v>0.19356</v>
      </c>
    </row>
    <row r="1593">
      <c r="B1593" t="n">
        <v>0.18999</v>
      </c>
      <c r="C1593" t="n">
        <v>0.16969</v>
      </c>
    </row>
    <row r="1594">
      <c r="B1594" t="n">
        <v>0.19422</v>
      </c>
      <c r="C1594" t="n">
        <v>0.1564</v>
      </c>
    </row>
    <row r="1595">
      <c r="B1595" t="n">
        <v>0.2041</v>
      </c>
      <c r="C1595" t="n">
        <v>0.1585</v>
      </c>
    </row>
    <row r="1596">
      <c r="B1596" t="n">
        <v>0.17301</v>
      </c>
      <c r="C1596" t="n">
        <v>0.14166</v>
      </c>
    </row>
    <row r="1597">
      <c r="B1597" t="n">
        <v>0.19052</v>
      </c>
      <c r="C1597" t="n">
        <v>0.18415</v>
      </c>
    </row>
    <row r="1598">
      <c r="B1598" t="n">
        <v>0.21614</v>
      </c>
      <c r="C1598" t="n">
        <v>0.1961</v>
      </c>
    </row>
    <row r="1599">
      <c r="B1599" t="n">
        <v>0.18201</v>
      </c>
      <c r="C1599" t="n">
        <v>0.15267</v>
      </c>
    </row>
    <row r="1600">
      <c r="B1600" t="n">
        <v>0.17911</v>
      </c>
      <c r="C1600" t="n">
        <v>0.15637</v>
      </c>
    </row>
    <row r="1601">
      <c r="B1601" t="n">
        <v>0.16046</v>
      </c>
      <c r="C1601" t="n">
        <v>0.15069</v>
      </c>
    </row>
    <row r="1602">
      <c r="B1602" t="n">
        <v>0.19368</v>
      </c>
      <c r="C1602" t="n">
        <v>0.16766</v>
      </c>
    </row>
    <row r="1603">
      <c r="B1603" t="n">
        <v>0.21614</v>
      </c>
      <c r="C1603" t="n">
        <v>0.19606</v>
      </c>
    </row>
    <row r="1604">
      <c r="B1604" t="n">
        <v>0.22063</v>
      </c>
      <c r="C1604" t="n">
        <v>0.16264</v>
      </c>
    </row>
    <row r="1605">
      <c r="B1605" t="n">
        <v>0.18581</v>
      </c>
      <c r="C1605" t="n">
        <v>0.15257</v>
      </c>
    </row>
    <row r="1606">
      <c r="B1606" t="n">
        <v>0.16504</v>
      </c>
      <c r="C1606" t="n">
        <v>0.14592</v>
      </c>
    </row>
    <row r="1607">
      <c r="B1607" t="n">
        <v>0.1534</v>
      </c>
      <c r="C1607" t="n">
        <v>0.13868</v>
      </c>
    </row>
    <row r="1608">
      <c r="B1608" t="n">
        <v>0.2211</v>
      </c>
      <c r="C1608" t="n">
        <v>0.16914</v>
      </c>
    </row>
    <row r="1609">
      <c r="B1609" t="n">
        <v>0.21457</v>
      </c>
      <c r="C1609" t="n">
        <v>0.19207</v>
      </c>
    </row>
    <row r="1610">
      <c r="B1610" t="n">
        <v>0.19452</v>
      </c>
      <c r="C1610" t="n">
        <v>0.17809</v>
      </c>
    </row>
    <row r="1611">
      <c r="B1611" t="n">
        <v>0.19714</v>
      </c>
      <c r="C1611" t="n">
        <v>0.14961</v>
      </c>
    </row>
    <row r="1612">
      <c r="B1612" t="n">
        <v>0.17038</v>
      </c>
      <c r="C1612" t="n">
        <v>0.14185</v>
      </c>
    </row>
    <row r="1613">
      <c r="B1613" t="n">
        <v>0.1756</v>
      </c>
      <c r="C1613" t="n">
        <v>0.1686</v>
      </c>
    </row>
    <row r="1614">
      <c r="B1614" t="n">
        <v>0.2389</v>
      </c>
      <c r="C1614" t="n">
        <v>0.20442</v>
      </c>
    </row>
    <row r="1615">
      <c r="B1615" t="n">
        <v>0.17026</v>
      </c>
      <c r="C1615" t="n">
        <v>0.15508</v>
      </c>
    </row>
    <row r="1616">
      <c r="B1616" t="n">
        <v>0.17732</v>
      </c>
      <c r="C1616" t="n">
        <v>0.1671</v>
      </c>
    </row>
    <row r="1617">
      <c r="B1617" t="n">
        <v>0.22428</v>
      </c>
      <c r="C1617" t="n">
        <v>0.19703</v>
      </c>
    </row>
    <row r="1618">
      <c r="B1618" t="n">
        <v>0.1971</v>
      </c>
      <c r="C1618" t="n">
        <v>0.1689</v>
      </c>
    </row>
    <row r="1619">
      <c r="B1619" t="n">
        <v>0.18494</v>
      </c>
      <c r="C1619" t="n">
        <v>0.149</v>
      </c>
    </row>
    <row r="1620">
      <c r="B1620" t="n">
        <v>0.19986</v>
      </c>
      <c r="C1620" t="n">
        <v>0.17748</v>
      </c>
    </row>
    <row r="1621">
      <c r="B1621" t="n">
        <v>0.191</v>
      </c>
      <c r="C1621" t="n">
        <v>0.17241</v>
      </c>
    </row>
    <row r="1622">
      <c r="B1622" t="n">
        <v>0.17579</v>
      </c>
      <c r="C1622" t="n">
        <v>0.17308</v>
      </c>
    </row>
    <row r="1623">
      <c r="B1623" t="n">
        <v>0.20498</v>
      </c>
      <c r="C1623" t="n">
        <v>0.15798</v>
      </c>
    </row>
    <row r="1624">
      <c r="B1624" t="n">
        <v>0.16081</v>
      </c>
      <c r="C1624" t="n">
        <v>0.14761</v>
      </c>
    </row>
    <row r="1625">
      <c r="B1625" t="n">
        <v>0.1771</v>
      </c>
      <c r="C1625" t="n">
        <v>0.17355</v>
      </c>
    </row>
    <row r="1626">
      <c r="B1626" t="n">
        <v>0.15989</v>
      </c>
      <c r="C1626" t="n">
        <v>0.15737</v>
      </c>
    </row>
    <row r="1627">
      <c r="B1627" t="n">
        <v>0.2009</v>
      </c>
      <c r="C1627" t="n">
        <v>0.17104</v>
      </c>
    </row>
    <row r="1628">
      <c r="B1628" t="n">
        <v>0.20236</v>
      </c>
      <c r="C1628" t="n">
        <v>0.18628</v>
      </c>
    </row>
    <row r="1629">
      <c r="B1629" t="n">
        <v>0.16729</v>
      </c>
      <c r="C1629" t="n">
        <v>0.16172</v>
      </c>
    </row>
    <row r="1630">
      <c r="B1630" t="n">
        <v>0.15416</v>
      </c>
      <c r="C1630" t="n">
        <v>0.15091</v>
      </c>
    </row>
    <row r="1631">
      <c r="B1631" t="n">
        <v>0.18461</v>
      </c>
      <c r="C1631" t="n">
        <v>0.17637</v>
      </c>
    </row>
    <row r="1632">
      <c r="B1632" t="n">
        <v>0.15593</v>
      </c>
      <c r="C1632" t="n">
        <v>0.14783</v>
      </c>
    </row>
    <row r="1633">
      <c r="B1633" t="n">
        <v>0.1764</v>
      </c>
      <c r="C1633" t="n">
        <v>0.17328</v>
      </c>
    </row>
    <row r="1634">
      <c r="B1634" t="n">
        <v>0.17194</v>
      </c>
      <c r="C1634" t="n">
        <v>0.15288</v>
      </c>
    </row>
    <row r="1635">
      <c r="B1635" t="n">
        <v>0.19714</v>
      </c>
      <c r="C1635" t="n">
        <v>0.17397</v>
      </c>
    </row>
    <row r="1636">
      <c r="B1636" t="n">
        <v>0.2054</v>
      </c>
      <c r="C1636" t="n">
        <v>0.16497</v>
      </c>
    </row>
    <row r="1637">
      <c r="B1637" t="n">
        <v>0.18033</v>
      </c>
      <c r="C1637" t="n">
        <v>0.17086</v>
      </c>
    </row>
    <row r="1638">
      <c r="B1638" t="n">
        <v>0.15957</v>
      </c>
      <c r="C1638" t="n">
        <v>0.14085</v>
      </c>
    </row>
    <row r="1639">
      <c r="B1639" t="n">
        <v>0.19639</v>
      </c>
      <c r="C1639" t="n">
        <v>0.1819</v>
      </c>
    </row>
    <row r="1640">
      <c r="B1640" t="n">
        <v>0.19761</v>
      </c>
      <c r="C1640" t="n">
        <v>0.15513</v>
      </c>
    </row>
    <row r="1641">
      <c r="B1641" t="n">
        <v>0.25212</v>
      </c>
      <c r="C1641" t="n">
        <v>0.20558</v>
      </c>
    </row>
    <row r="1642">
      <c r="B1642" t="n">
        <v>0.16143</v>
      </c>
      <c r="C1642" t="n">
        <v>0.15728</v>
      </c>
    </row>
    <row r="1643">
      <c r="B1643" t="n">
        <v>0.16453</v>
      </c>
      <c r="C1643" t="n">
        <v>0.15539</v>
      </c>
    </row>
    <row r="1644">
      <c r="B1644" t="n">
        <v>0.18708</v>
      </c>
      <c r="C1644" t="n">
        <v>0.15669</v>
      </c>
    </row>
    <row r="1645">
      <c r="B1645" t="n">
        <v>0.16041</v>
      </c>
      <c r="C1645" t="n">
        <v>0.15852</v>
      </c>
    </row>
    <row r="1646">
      <c r="B1646" t="n">
        <v>0.17709</v>
      </c>
      <c r="C1646" t="n">
        <v>0.16097</v>
      </c>
    </row>
    <row r="1647">
      <c r="B1647" t="n">
        <v>0.19691</v>
      </c>
      <c r="C1647" t="n">
        <v>0.15635</v>
      </c>
    </row>
    <row r="1648">
      <c r="B1648" t="n">
        <v>0.17809</v>
      </c>
      <c r="C1648" t="n">
        <v>0.15109</v>
      </c>
    </row>
    <row r="1649">
      <c r="B1649" t="n">
        <v>0.18618</v>
      </c>
      <c r="C1649" t="n">
        <v>0.15752</v>
      </c>
    </row>
    <row r="1650">
      <c r="B1650" t="n">
        <v>0.18549</v>
      </c>
      <c r="C1650" t="n">
        <v>0.15332</v>
      </c>
    </row>
    <row r="1651">
      <c r="B1651" t="n">
        <v>0.15853</v>
      </c>
      <c r="C1651" t="n">
        <v>0.14603</v>
      </c>
    </row>
    <row r="1652">
      <c r="B1652" t="n">
        <v>0.18714</v>
      </c>
      <c r="C1652" t="n">
        <v>0.15721</v>
      </c>
    </row>
    <row r="1653">
      <c r="B1653" t="n">
        <v>0.18079</v>
      </c>
      <c r="C1653" t="n">
        <v>0.17421</v>
      </c>
    </row>
    <row r="1654">
      <c r="B1654" t="n">
        <v>0.20254</v>
      </c>
      <c r="C1654" t="n">
        <v>0.16036</v>
      </c>
    </row>
    <row r="1655">
      <c r="B1655" t="n">
        <v>0.16324</v>
      </c>
      <c r="C1655" t="n">
        <v>0.14534</v>
      </c>
    </row>
    <row r="1656">
      <c r="B1656" t="n">
        <v>0.18657</v>
      </c>
      <c r="C1656" t="n">
        <v>0.15839</v>
      </c>
    </row>
    <row r="1657">
      <c r="B1657" t="n">
        <v>0.21168</v>
      </c>
      <c r="C1657" t="n">
        <v>0.16247</v>
      </c>
    </row>
    <row r="1658">
      <c r="B1658" t="n">
        <v>0.17776</v>
      </c>
      <c r="C1658" t="n">
        <v>0.17226</v>
      </c>
    </row>
    <row r="1659">
      <c r="B1659" t="n">
        <v>0.20134</v>
      </c>
      <c r="C1659" t="n">
        <v>0.16354</v>
      </c>
    </row>
    <row r="1660">
      <c r="B1660" t="n">
        <v>0.17211</v>
      </c>
      <c r="C1660" t="n">
        <v>0.17014</v>
      </c>
    </row>
    <row r="1661">
      <c r="B1661" t="n">
        <v>0.16468</v>
      </c>
      <c r="C1661" t="n">
        <v>0.15419</v>
      </c>
    </row>
    <row r="1662">
      <c r="B1662" t="n">
        <v>0.18509</v>
      </c>
      <c r="C1662" t="n">
        <v>0.17824</v>
      </c>
    </row>
    <row r="1663">
      <c r="B1663" t="n">
        <v>0.18931</v>
      </c>
      <c r="C1663" t="n">
        <v>0.16802</v>
      </c>
    </row>
    <row r="1664">
      <c r="B1664" t="n">
        <v>0.18345</v>
      </c>
      <c r="C1664" t="n">
        <v>0.14812</v>
      </c>
    </row>
    <row r="1665">
      <c r="B1665" t="n">
        <v>0.1685</v>
      </c>
      <c r="C1665" t="n">
        <v>0.147</v>
      </c>
    </row>
    <row r="1666">
      <c r="B1666" t="n">
        <v>0.1637</v>
      </c>
      <c r="C1666" t="n">
        <v>0.15014</v>
      </c>
    </row>
    <row r="1667">
      <c r="B1667" t="n">
        <v>0.17738</v>
      </c>
      <c r="C1667" t="n">
        <v>0.15565</v>
      </c>
    </row>
    <row r="1668">
      <c r="B1668" t="n">
        <v>0.19693</v>
      </c>
      <c r="C1668" t="n">
        <v>0.15883</v>
      </c>
    </row>
    <row r="1669">
      <c r="B1669" t="n">
        <v>0.28329</v>
      </c>
      <c r="C1669" t="n">
        <v>0.22076</v>
      </c>
    </row>
    <row r="1670">
      <c r="B1670" t="n">
        <v>0.17</v>
      </c>
      <c r="C1670" t="n">
        <v>0.16975</v>
      </c>
    </row>
    <row r="1671">
      <c r="B1671" t="n">
        <v>0.18294</v>
      </c>
      <c r="C1671" t="n">
        <v>0.1768</v>
      </c>
    </row>
    <row r="1672">
      <c r="B1672" t="n">
        <v>0.21383</v>
      </c>
      <c r="C1672" t="n">
        <v>0.19298</v>
      </c>
    </row>
    <row r="1673">
      <c r="B1673" t="n">
        <v>0.159</v>
      </c>
      <c r="C1673" t="n">
        <v>0.14484</v>
      </c>
    </row>
    <row r="1674">
      <c r="B1674" t="n">
        <v>0.17164</v>
      </c>
      <c r="C1674" t="n">
        <v>0.166</v>
      </c>
    </row>
    <row r="1675">
      <c r="B1675" t="n">
        <v>0.18444</v>
      </c>
      <c r="C1675" t="n">
        <v>0.16157</v>
      </c>
    </row>
    <row r="1676">
      <c r="B1676" t="n">
        <v>0.17753</v>
      </c>
      <c r="C1676" t="n">
        <v>0.15909</v>
      </c>
    </row>
    <row r="1677">
      <c r="B1677" t="n">
        <v>0.22731</v>
      </c>
      <c r="C1677" t="n">
        <v>0.16346</v>
      </c>
    </row>
    <row r="1678">
      <c r="B1678" t="n">
        <v>0.18981</v>
      </c>
      <c r="C1678" t="n">
        <v>0.15667</v>
      </c>
    </row>
    <row r="1679">
      <c r="B1679" t="n">
        <v>0.19955</v>
      </c>
      <c r="C1679" t="n">
        <v>0.18846</v>
      </c>
    </row>
    <row r="1680">
      <c r="B1680" t="n">
        <v>0.16962</v>
      </c>
      <c r="C1680" t="n">
        <v>0.14957</v>
      </c>
    </row>
    <row r="1681">
      <c r="B1681" t="n">
        <v>0.16969</v>
      </c>
      <c r="C1681" t="n">
        <v>0.16526</v>
      </c>
    </row>
    <row r="1682">
      <c r="B1682" t="n">
        <v>0.20367</v>
      </c>
      <c r="C1682" t="n">
        <v>0.15521</v>
      </c>
    </row>
    <row r="1683">
      <c r="B1683" t="n">
        <v>0.18743</v>
      </c>
      <c r="C1683" t="n">
        <v>0.17792</v>
      </c>
    </row>
    <row r="1684">
      <c r="B1684" t="n">
        <v>0.16158</v>
      </c>
      <c r="C1684" t="n">
        <v>0.16001</v>
      </c>
    </row>
    <row r="1685">
      <c r="B1685" t="n">
        <v>0.20737</v>
      </c>
      <c r="C1685" t="n">
        <v>0.18923</v>
      </c>
    </row>
    <row r="1686">
      <c r="B1686" t="n">
        <v>0.15787</v>
      </c>
      <c r="C1686" t="n">
        <v>0.15477</v>
      </c>
    </row>
    <row r="1687">
      <c r="B1687" t="n">
        <v>0.17399</v>
      </c>
      <c r="C1687" t="n">
        <v>0.15912</v>
      </c>
    </row>
    <row r="1688">
      <c r="B1688" t="n">
        <v>0.19125</v>
      </c>
      <c r="C1688" t="n">
        <v>0.18042</v>
      </c>
    </row>
    <row r="1689">
      <c r="B1689" t="n">
        <v>0.18976</v>
      </c>
      <c r="C1689" t="n">
        <v>0.16501</v>
      </c>
    </row>
    <row r="1690">
      <c r="B1690" t="n">
        <v>0.16355</v>
      </c>
      <c r="C1690" t="n">
        <v>0.16131</v>
      </c>
    </row>
    <row r="1691">
      <c r="B1691" t="n">
        <v>0.19848</v>
      </c>
      <c r="C1691" t="n">
        <v>0.16096</v>
      </c>
    </row>
    <row r="1692">
      <c r="B1692" t="n">
        <v>0.20054</v>
      </c>
      <c r="C1692" t="n">
        <v>0.16009</v>
      </c>
    </row>
    <row r="1693">
      <c r="B1693" t="n">
        <v>0.17064</v>
      </c>
      <c r="C1693" t="n">
        <v>0.14687</v>
      </c>
    </row>
    <row r="1694">
      <c r="B1694" t="n">
        <v>0.192</v>
      </c>
      <c r="C1694" t="n">
        <v>0.15012</v>
      </c>
    </row>
    <row r="1695">
      <c r="B1695" t="n">
        <v>0.17248</v>
      </c>
      <c r="C1695" t="n">
        <v>0.14227</v>
      </c>
    </row>
    <row r="1696">
      <c r="B1696" t="n">
        <v>0.18331</v>
      </c>
      <c r="C1696" t="n">
        <v>0.14977</v>
      </c>
    </row>
    <row r="1697">
      <c r="B1697" t="n">
        <v>0.16805</v>
      </c>
      <c r="C1697" t="n">
        <v>0.15751</v>
      </c>
    </row>
    <row r="1698">
      <c r="B1698" t="n">
        <v>0.1818</v>
      </c>
      <c r="C1698" t="n">
        <v>0.15178</v>
      </c>
    </row>
    <row r="1699">
      <c r="B1699" t="n">
        <v>0.19516</v>
      </c>
      <c r="C1699" t="n">
        <v>0.16252</v>
      </c>
    </row>
    <row r="1700">
      <c r="B1700" t="n">
        <v>0.18266</v>
      </c>
      <c r="C1700" t="n">
        <v>0.15314</v>
      </c>
    </row>
    <row r="1701">
      <c r="B1701" t="n">
        <v>0.17312</v>
      </c>
      <c r="C1701" t="n">
        <v>0.16392</v>
      </c>
    </row>
    <row r="1702">
      <c r="B1702" t="n">
        <v>0.19735</v>
      </c>
      <c r="C1702" t="n">
        <v>0.15213</v>
      </c>
    </row>
    <row r="1703">
      <c r="B1703" t="n">
        <v>0.18874</v>
      </c>
      <c r="C1703" t="n">
        <v>0.1501</v>
      </c>
    </row>
    <row r="1704">
      <c r="B1704" t="n">
        <v>0.18252</v>
      </c>
      <c r="C1704" t="n">
        <v>0.17011</v>
      </c>
    </row>
    <row r="1705">
      <c r="B1705" t="n">
        <v>0.15884</v>
      </c>
      <c r="C1705" t="n">
        <v>0.15686</v>
      </c>
    </row>
    <row r="1706">
      <c r="B1706" t="n">
        <v>0.1809</v>
      </c>
      <c r="C1706" t="n">
        <v>0.16567</v>
      </c>
    </row>
    <row r="1707">
      <c r="B1707" t="n">
        <v>0.19701</v>
      </c>
      <c r="C1707" t="n">
        <v>0.1809</v>
      </c>
    </row>
    <row r="1708">
      <c r="B1708" t="n">
        <v>0.16277</v>
      </c>
      <c r="C1708" t="n">
        <v>0.13983</v>
      </c>
    </row>
    <row r="1709">
      <c r="B1709" t="n">
        <v>0.21246</v>
      </c>
      <c r="C1709" t="n">
        <v>0.18651</v>
      </c>
    </row>
    <row r="1710">
      <c r="B1710" t="n">
        <v>0.17395</v>
      </c>
      <c r="C1710" t="n">
        <v>0.17292</v>
      </c>
    </row>
    <row r="1711">
      <c r="B1711" t="n">
        <v>0.1709</v>
      </c>
      <c r="C1711" t="n">
        <v>0.16043</v>
      </c>
    </row>
    <row r="1712">
      <c r="B1712" t="n">
        <v>0.19769</v>
      </c>
      <c r="C1712" t="n">
        <v>0.17939</v>
      </c>
    </row>
    <row r="1713">
      <c r="B1713" t="n">
        <v>0.16955</v>
      </c>
      <c r="C1713" t="n">
        <v>0.1539</v>
      </c>
    </row>
    <row r="1714">
      <c r="B1714" t="n">
        <v>0.18247</v>
      </c>
      <c r="C1714" t="n">
        <v>0.16141</v>
      </c>
    </row>
    <row r="1715">
      <c r="B1715" t="n">
        <v>0.17389</v>
      </c>
      <c r="C1715" t="n">
        <v>0.1497</v>
      </c>
    </row>
    <row r="1716">
      <c r="B1716" t="n">
        <v>0.19984</v>
      </c>
      <c r="C1716" t="n">
        <v>0.16831</v>
      </c>
    </row>
    <row r="1717">
      <c r="B1717" t="n">
        <v>0.17209</v>
      </c>
      <c r="C1717" t="n">
        <v>0.17196</v>
      </c>
    </row>
    <row r="1718">
      <c r="B1718" t="n">
        <v>0.16786</v>
      </c>
      <c r="C1718" t="n">
        <v>0.1534</v>
      </c>
    </row>
    <row r="1719">
      <c r="B1719" t="n">
        <v>0.20016</v>
      </c>
      <c r="C1719" t="n">
        <v>0.18478</v>
      </c>
    </row>
    <row r="1720">
      <c r="B1720" t="n">
        <v>0.16761</v>
      </c>
      <c r="C1720" t="n">
        <v>0.14522</v>
      </c>
    </row>
    <row r="1721">
      <c r="B1721" t="n">
        <v>0.16713</v>
      </c>
      <c r="C1721" t="n">
        <v>0.16191</v>
      </c>
    </row>
    <row r="1722">
      <c r="B1722" t="n">
        <v>0.18342</v>
      </c>
      <c r="C1722" t="n">
        <v>0.16484</v>
      </c>
    </row>
    <row r="1723">
      <c r="B1723" t="n">
        <v>0.18412</v>
      </c>
      <c r="C1723" t="n">
        <v>0.16262</v>
      </c>
    </row>
    <row r="1724">
      <c r="B1724" t="n">
        <v>0.19407</v>
      </c>
      <c r="C1724" t="n">
        <v>0.16725</v>
      </c>
    </row>
    <row r="1725">
      <c r="B1725" t="n">
        <v>0.2032</v>
      </c>
      <c r="C1725" t="n">
        <v>0.1736</v>
      </c>
    </row>
    <row r="1726">
      <c r="B1726" t="n">
        <v>0.17064</v>
      </c>
      <c r="C1726" t="n">
        <v>0.16926</v>
      </c>
    </row>
    <row r="1727">
      <c r="B1727" t="n">
        <v>0.17905</v>
      </c>
      <c r="C1727" t="n">
        <v>0.1741</v>
      </c>
    </row>
    <row r="1728">
      <c r="B1728" t="n">
        <v>0.18705</v>
      </c>
      <c r="C1728" t="n">
        <v>0.16219</v>
      </c>
    </row>
    <row r="1729">
      <c r="B1729" t="n">
        <v>0.21319</v>
      </c>
      <c r="C1729" t="n">
        <v>0.19393</v>
      </c>
    </row>
    <row r="1730">
      <c r="B1730" t="n">
        <v>0.19419</v>
      </c>
      <c r="C1730" t="n">
        <v>0.15465</v>
      </c>
    </row>
    <row r="1731">
      <c r="B1731" t="n">
        <v>0.18083</v>
      </c>
      <c r="C1731" t="n">
        <v>0.1565</v>
      </c>
    </row>
    <row r="1732">
      <c r="B1732" t="n">
        <v>0.19917</v>
      </c>
      <c r="C1732" t="n">
        <v>0.18058</v>
      </c>
    </row>
    <row r="1733">
      <c r="B1733" t="n">
        <v>0.15708</v>
      </c>
      <c r="C1733" t="n">
        <v>0.1391</v>
      </c>
    </row>
    <row r="1734">
      <c r="B1734" t="n">
        <v>0.18258</v>
      </c>
      <c r="C1734" t="n">
        <v>0.15354</v>
      </c>
    </row>
    <row r="1735">
      <c r="B1735" t="n">
        <v>0.18261</v>
      </c>
      <c r="C1735" t="n">
        <v>0.16119</v>
      </c>
    </row>
    <row r="1736">
      <c r="B1736" t="n">
        <v>0.18721</v>
      </c>
      <c r="C1736" t="n">
        <v>0.15517</v>
      </c>
    </row>
    <row r="1737">
      <c r="B1737" t="n">
        <v>0.21356</v>
      </c>
      <c r="C1737" t="n">
        <v>0.19551</v>
      </c>
    </row>
    <row r="1738">
      <c r="B1738" t="n">
        <v>0.17513</v>
      </c>
      <c r="C1738" t="n">
        <v>0.15814</v>
      </c>
    </row>
    <row r="1739">
      <c r="B1739" t="n">
        <v>0.16261</v>
      </c>
      <c r="C1739" t="n">
        <v>0.15793</v>
      </c>
    </row>
    <row r="1740">
      <c r="B1740" t="n">
        <v>0.17527</v>
      </c>
      <c r="C1740" t="n">
        <v>0.15631</v>
      </c>
    </row>
    <row r="1741">
      <c r="B1741" t="n">
        <v>0.175</v>
      </c>
      <c r="C1741" t="n">
        <v>0.15571</v>
      </c>
    </row>
    <row r="1742">
      <c r="B1742" t="n">
        <v>0.19854</v>
      </c>
      <c r="C1742" t="n">
        <v>0.15263</v>
      </c>
    </row>
    <row r="1743">
      <c r="B1743" t="n">
        <v>0.18113</v>
      </c>
      <c r="C1743" t="n">
        <v>0.16614</v>
      </c>
    </row>
    <row r="1744">
      <c r="B1744" t="n">
        <v>0.16919</v>
      </c>
      <c r="C1744" t="n">
        <v>0.15581</v>
      </c>
    </row>
    <row r="1745">
      <c r="B1745" t="n">
        <v>0.21009</v>
      </c>
      <c r="C1745" t="n">
        <v>0.15958</v>
      </c>
    </row>
    <row r="1746">
      <c r="B1746" t="n">
        <v>0.15899</v>
      </c>
      <c r="C1746" t="n">
        <v>0.13922</v>
      </c>
    </row>
    <row r="1747">
      <c r="B1747" t="n">
        <v>0.20842</v>
      </c>
      <c r="C1747" t="n">
        <v>0.19219</v>
      </c>
    </row>
    <row r="1748">
      <c r="B1748" t="n">
        <v>0.18076</v>
      </c>
      <c r="C1748" t="n">
        <v>0.15402</v>
      </c>
    </row>
    <row r="1749">
      <c r="B1749" t="n">
        <v>0.20335</v>
      </c>
      <c r="C1749" t="n">
        <v>0.16159</v>
      </c>
    </row>
    <row r="1750">
      <c r="B1750" t="n">
        <v>0.21666</v>
      </c>
      <c r="C1750" t="n">
        <v>0.18995</v>
      </c>
    </row>
    <row r="1751">
      <c r="B1751" t="n">
        <v>0.16854</v>
      </c>
      <c r="C1751" t="n">
        <v>0.15602</v>
      </c>
    </row>
    <row r="1752">
      <c r="B1752" t="n">
        <v>0.21102</v>
      </c>
      <c r="C1752" t="n">
        <v>0.16041</v>
      </c>
    </row>
    <row r="1753">
      <c r="B1753" t="n">
        <v>0.15988</v>
      </c>
      <c r="C1753" t="n">
        <v>0.13892</v>
      </c>
    </row>
    <row r="1754">
      <c r="B1754" t="n">
        <v>0.18161</v>
      </c>
      <c r="C1754" t="n">
        <v>0.14292</v>
      </c>
    </row>
    <row r="1755">
      <c r="B1755" t="n">
        <v>0.17564</v>
      </c>
      <c r="C1755" t="n">
        <v>0.16332</v>
      </c>
    </row>
    <row r="1756">
      <c r="B1756" t="n">
        <v>0.16794</v>
      </c>
      <c r="C1756" t="n">
        <v>0.15963</v>
      </c>
    </row>
    <row r="1757">
      <c r="B1757" t="n">
        <v>0.16434</v>
      </c>
      <c r="C1757" t="n">
        <v>0.14679</v>
      </c>
    </row>
    <row r="1758">
      <c r="B1758" t="n">
        <v>0.15882</v>
      </c>
      <c r="C1758" t="n">
        <v>0.16005</v>
      </c>
    </row>
    <row r="1759">
      <c r="B1759" t="n">
        <v>0.17875</v>
      </c>
      <c r="C1759" t="n">
        <v>0.15951</v>
      </c>
    </row>
    <row r="1760">
      <c r="B1760" t="n">
        <v>0.17074</v>
      </c>
      <c r="C1760" t="n">
        <v>0.15932</v>
      </c>
    </row>
    <row r="1761">
      <c r="B1761" t="n">
        <v>0.18757</v>
      </c>
      <c r="C1761" t="n">
        <v>0.1606</v>
      </c>
    </row>
    <row r="1762">
      <c r="B1762" t="n">
        <v>0.17247</v>
      </c>
      <c r="C1762" t="n">
        <v>0.15501</v>
      </c>
    </row>
    <row r="1763">
      <c r="B1763" t="n">
        <v>0.16951</v>
      </c>
      <c r="C1763" t="n">
        <v>0.14763</v>
      </c>
    </row>
    <row r="1764">
      <c r="B1764" t="n">
        <v>0.24783</v>
      </c>
      <c r="C1764" t="n">
        <v>0.20812</v>
      </c>
    </row>
    <row r="1765">
      <c r="B1765" t="n">
        <v>0.17611</v>
      </c>
      <c r="C1765" t="n">
        <v>0.17193</v>
      </c>
    </row>
    <row r="1766">
      <c r="B1766" t="n">
        <v>0.16815</v>
      </c>
      <c r="C1766" t="n">
        <v>0.16123</v>
      </c>
    </row>
    <row r="1767">
      <c r="B1767" t="n">
        <v>0.19798</v>
      </c>
      <c r="C1767" t="n">
        <v>0.18386</v>
      </c>
    </row>
    <row r="1768">
      <c r="B1768" t="n">
        <v>0.20465</v>
      </c>
      <c r="C1768" t="n">
        <v>0.18783</v>
      </c>
    </row>
    <row r="1769">
      <c r="B1769" t="n">
        <v>0.16755</v>
      </c>
      <c r="C1769" t="n">
        <v>0.15525</v>
      </c>
    </row>
    <row r="1770">
      <c r="B1770" t="n">
        <v>0.17772</v>
      </c>
      <c r="C1770" t="n">
        <v>0.15166</v>
      </c>
    </row>
    <row r="1771">
      <c r="B1771" t="n">
        <v>0.17936</v>
      </c>
      <c r="C1771" t="n">
        <v>0.17526</v>
      </c>
    </row>
    <row r="1772">
      <c r="B1772" t="n">
        <v>0.18051</v>
      </c>
      <c r="C1772" t="n">
        <v>0.15563</v>
      </c>
    </row>
    <row r="1773">
      <c r="B1773" t="n">
        <v>0.17224</v>
      </c>
      <c r="C1773" t="n">
        <v>0.15667</v>
      </c>
    </row>
    <row r="1774">
      <c r="B1774" t="n">
        <v>0.17815</v>
      </c>
      <c r="C1774" t="n">
        <v>0.16028</v>
      </c>
    </row>
    <row r="1775">
      <c r="B1775" t="n">
        <v>0.17515</v>
      </c>
      <c r="C1775" t="n">
        <v>0.16605</v>
      </c>
    </row>
    <row r="1776">
      <c r="B1776" t="n">
        <v>0.20408</v>
      </c>
      <c r="C1776" t="n">
        <v>0.18843</v>
      </c>
    </row>
    <row r="1777">
      <c r="B1777" t="n">
        <v>0.21091</v>
      </c>
      <c r="C1777" t="n">
        <v>0.19241</v>
      </c>
    </row>
    <row r="1778">
      <c r="B1778" t="n">
        <v>0.16239</v>
      </c>
      <c r="C1778" t="n">
        <v>0.14213</v>
      </c>
    </row>
    <row r="1779">
      <c r="B1779" t="n">
        <v>0.18741</v>
      </c>
      <c r="C1779" t="n">
        <v>0.15982</v>
      </c>
    </row>
    <row r="1780">
      <c r="B1780" t="n">
        <v>0.17347</v>
      </c>
      <c r="C1780" t="n">
        <v>0.14849</v>
      </c>
    </row>
    <row r="1781">
      <c r="B1781" t="n">
        <v>0.16021</v>
      </c>
      <c r="C1781" t="n">
        <v>0.14171</v>
      </c>
    </row>
    <row r="1782">
      <c r="B1782" t="n">
        <v>0.16584</v>
      </c>
      <c r="C1782" t="n">
        <v>0.16193</v>
      </c>
    </row>
    <row r="1783">
      <c r="B1783" t="n">
        <v>0.1834</v>
      </c>
      <c r="C1783" t="n">
        <v>0.15883</v>
      </c>
    </row>
    <row r="1784">
      <c r="B1784" t="n">
        <v>0.15517</v>
      </c>
      <c r="C1784" t="n">
        <v>0.15329</v>
      </c>
    </row>
    <row r="1785">
      <c r="B1785" t="n">
        <v>0.18618</v>
      </c>
      <c r="C1785" t="n">
        <v>0.16853</v>
      </c>
    </row>
    <row r="1786">
      <c r="B1786" t="n">
        <v>0.16014</v>
      </c>
      <c r="C1786" t="n">
        <v>0.14909</v>
      </c>
    </row>
    <row r="1787">
      <c r="B1787" t="n">
        <v>0.16833</v>
      </c>
      <c r="C1787" t="n">
        <v>0.14389</v>
      </c>
    </row>
    <row r="1788">
      <c r="B1788" t="n">
        <v>0.20327</v>
      </c>
      <c r="C1788" t="n">
        <v>0.1623</v>
      </c>
    </row>
    <row r="1789">
      <c r="B1789" t="n">
        <v>0.20806</v>
      </c>
      <c r="C1789" t="n">
        <v>0.18911</v>
      </c>
    </row>
    <row r="1790">
      <c r="B1790" t="n">
        <v>0.19715</v>
      </c>
      <c r="C1790" t="n">
        <v>0.18185</v>
      </c>
    </row>
    <row r="1791">
      <c r="B1791" t="n">
        <v>0.18879</v>
      </c>
      <c r="C1791" t="n">
        <v>0.17411</v>
      </c>
    </row>
    <row r="1792">
      <c r="B1792" t="n">
        <v>0.16184</v>
      </c>
      <c r="C1792" t="n">
        <v>0.1552</v>
      </c>
    </row>
    <row r="1793">
      <c r="B1793" t="n">
        <v>0.18911</v>
      </c>
      <c r="C1793" t="n">
        <v>0.15463</v>
      </c>
    </row>
    <row r="1794">
      <c r="B1794" t="n">
        <v>0.19859</v>
      </c>
      <c r="C1794" t="n">
        <v>0.18781</v>
      </c>
    </row>
    <row r="1795">
      <c r="B1795" t="n">
        <v>0.22643</v>
      </c>
      <c r="C1795" t="n">
        <v>0.15935</v>
      </c>
    </row>
    <row r="1796">
      <c r="B1796" t="n">
        <v>0.17475</v>
      </c>
      <c r="C1796" t="n">
        <v>0.17234</v>
      </c>
    </row>
    <row r="1797">
      <c r="B1797" t="n">
        <v>0.16585</v>
      </c>
      <c r="C1797" t="n">
        <v>0.15977</v>
      </c>
    </row>
    <row r="1798">
      <c r="B1798" t="n">
        <v>0.2044</v>
      </c>
      <c r="C1798" t="n">
        <v>0.18672</v>
      </c>
    </row>
    <row r="1799">
      <c r="B1799" t="n">
        <v>0.15345</v>
      </c>
      <c r="C1799" t="n">
        <v>0.14474</v>
      </c>
    </row>
    <row r="1800">
      <c r="B1800" t="n">
        <v>0.19484</v>
      </c>
      <c r="C1800" t="n">
        <v>0.16813</v>
      </c>
    </row>
    <row r="1801">
      <c r="B1801" t="n">
        <v>0.17161</v>
      </c>
      <c r="C1801" t="n">
        <v>0.16892</v>
      </c>
    </row>
    <row r="1802">
      <c r="B1802" t="n">
        <v>0.17784</v>
      </c>
      <c r="C1802" t="n">
        <v>0.15357</v>
      </c>
    </row>
    <row r="1803">
      <c r="B1803" t="n">
        <v>0.16736</v>
      </c>
      <c r="C1803" t="n">
        <v>0.15396</v>
      </c>
    </row>
    <row r="1804">
      <c r="B1804" t="n">
        <v>0.15775</v>
      </c>
      <c r="C1804" t="n">
        <v>0.14075</v>
      </c>
    </row>
    <row r="1805">
      <c r="B1805" t="n">
        <v>0.18874</v>
      </c>
      <c r="C1805" t="n">
        <v>0.18163</v>
      </c>
    </row>
    <row r="1806">
      <c r="B1806" t="n">
        <v>0.18135</v>
      </c>
      <c r="C1806" t="n">
        <v>0.17422</v>
      </c>
    </row>
    <row r="1807">
      <c r="B1807" t="n">
        <v>0.17983</v>
      </c>
      <c r="C1807" t="n">
        <v>0.16595</v>
      </c>
    </row>
    <row r="1808">
      <c r="B1808" t="n">
        <v>0.17459</v>
      </c>
      <c r="C1808" t="n">
        <v>0.17057</v>
      </c>
    </row>
    <row r="1809">
      <c r="B1809" t="n">
        <v>0.17455</v>
      </c>
      <c r="C1809" t="n">
        <v>0.17243</v>
      </c>
    </row>
    <row r="1810">
      <c r="B1810" t="n">
        <v>0.15551</v>
      </c>
      <c r="C1810" t="n">
        <v>0.1313</v>
      </c>
    </row>
    <row r="1811">
      <c r="B1811" t="n">
        <v>0.20019</v>
      </c>
      <c r="C1811" t="n">
        <v>0.15474</v>
      </c>
    </row>
    <row r="1812">
      <c r="B1812" t="n">
        <v>0.20148</v>
      </c>
      <c r="C1812" t="n">
        <v>0.1875</v>
      </c>
    </row>
    <row r="1813">
      <c r="B1813" t="n">
        <v>0.17123</v>
      </c>
      <c r="C1813" t="n">
        <v>0.17024</v>
      </c>
    </row>
    <row r="1814">
      <c r="B1814" t="n">
        <v>0.20329</v>
      </c>
      <c r="C1814" t="n">
        <v>0.16263</v>
      </c>
    </row>
    <row r="1815">
      <c r="B1815" t="n">
        <v>0.20428</v>
      </c>
      <c r="C1815" t="n">
        <v>0.18274</v>
      </c>
    </row>
    <row r="1816">
      <c r="B1816" t="n">
        <v>0.20287</v>
      </c>
      <c r="C1816" t="n">
        <v>0.15909</v>
      </c>
    </row>
    <row r="1817">
      <c r="B1817" t="n">
        <v>0.18464</v>
      </c>
      <c r="C1817" t="n">
        <v>0.15743</v>
      </c>
    </row>
    <row r="1818">
      <c r="B1818" t="n">
        <v>0.19756</v>
      </c>
      <c r="C1818" t="n">
        <v>0.17585</v>
      </c>
    </row>
    <row r="1819">
      <c r="B1819" t="n">
        <v>0.19463</v>
      </c>
      <c r="C1819" t="n">
        <v>0.15839</v>
      </c>
    </row>
    <row r="1820">
      <c r="B1820" t="n">
        <v>0.17001</v>
      </c>
      <c r="C1820" t="n">
        <v>0.15235</v>
      </c>
    </row>
    <row r="1821">
      <c r="B1821" t="n">
        <v>0.1592</v>
      </c>
      <c r="C1821" t="n">
        <v>0.15473</v>
      </c>
    </row>
    <row r="1822">
      <c r="B1822" t="n">
        <v>0.18559</v>
      </c>
      <c r="C1822" t="n">
        <v>0.17964</v>
      </c>
    </row>
    <row r="1823">
      <c r="B1823" t="n">
        <v>0.23163</v>
      </c>
      <c r="C1823" t="n">
        <v>0.20381</v>
      </c>
    </row>
    <row r="1824">
      <c r="B1824" t="n">
        <v>0.16457</v>
      </c>
      <c r="C1824" t="n">
        <v>0.1456</v>
      </c>
    </row>
    <row r="1825">
      <c r="B1825" t="n">
        <v>0.17913</v>
      </c>
      <c r="C1825" t="n">
        <v>0.17337</v>
      </c>
    </row>
    <row r="1826">
      <c r="B1826" t="n">
        <v>0.16248</v>
      </c>
      <c r="C1826" t="n">
        <v>0.15187</v>
      </c>
    </row>
    <row r="1827">
      <c r="B1827" t="n">
        <v>0.18459</v>
      </c>
      <c r="C1827" t="n">
        <v>0.16703</v>
      </c>
    </row>
    <row r="1828">
      <c r="B1828" t="n">
        <v>0.16295</v>
      </c>
      <c r="C1828" t="n">
        <v>0.14434</v>
      </c>
    </row>
    <row r="1829">
      <c r="B1829" t="n">
        <v>0.16497</v>
      </c>
      <c r="C1829" t="n">
        <v>0.15001</v>
      </c>
    </row>
    <row r="1830">
      <c r="B1830" t="n">
        <v>0.15563</v>
      </c>
      <c r="C1830" t="n">
        <v>0.15173</v>
      </c>
    </row>
    <row r="1831">
      <c r="B1831" t="n">
        <v>0.15568</v>
      </c>
      <c r="C1831" t="n">
        <v>0.1538</v>
      </c>
    </row>
    <row r="1832">
      <c r="B1832" t="n">
        <v>0.19787</v>
      </c>
      <c r="C1832" t="n">
        <v>0.16225</v>
      </c>
    </row>
    <row r="1833">
      <c r="B1833" t="n">
        <v>0.16779</v>
      </c>
      <c r="C1833" t="n">
        <v>0.15618</v>
      </c>
    </row>
    <row r="1834">
      <c r="B1834" t="n">
        <v>0.15759</v>
      </c>
      <c r="C1834" t="n">
        <v>0.14648</v>
      </c>
    </row>
    <row r="1835">
      <c r="B1835" t="n">
        <v>0.19525</v>
      </c>
      <c r="C1835" t="n">
        <v>0.15399</v>
      </c>
    </row>
    <row r="1836">
      <c r="B1836" t="n">
        <v>0.19688</v>
      </c>
      <c r="C1836" t="n">
        <v>0.15989</v>
      </c>
    </row>
    <row r="1837">
      <c r="B1837" t="n">
        <v>0.20339</v>
      </c>
      <c r="C1837" t="n">
        <v>0.17155</v>
      </c>
    </row>
    <row r="1838">
      <c r="B1838" t="n">
        <v>0.17307</v>
      </c>
      <c r="C1838" t="n">
        <v>0.1662</v>
      </c>
    </row>
    <row r="1839">
      <c r="B1839" t="n">
        <v>0.15843</v>
      </c>
      <c r="C1839" t="n">
        <v>0.13923</v>
      </c>
    </row>
    <row r="1840">
      <c r="B1840" t="n">
        <v>0.20234</v>
      </c>
      <c r="C1840" t="n">
        <v>0.16684</v>
      </c>
    </row>
    <row r="1841">
      <c r="B1841" t="n">
        <v>0.19043</v>
      </c>
      <c r="C1841" t="n">
        <v>0.14699</v>
      </c>
    </row>
    <row r="1842">
      <c r="B1842" t="n">
        <v>0.15325</v>
      </c>
      <c r="C1842" t="n">
        <v>0.15172</v>
      </c>
    </row>
    <row r="1843">
      <c r="B1843" t="n">
        <v>0.16026</v>
      </c>
      <c r="C1843" t="n">
        <v>0.14608</v>
      </c>
    </row>
    <row r="1844">
      <c r="B1844" t="n">
        <v>0.16839</v>
      </c>
      <c r="C1844" t="n">
        <v>0.15948</v>
      </c>
    </row>
    <row r="1845">
      <c r="B1845" t="n">
        <v>0.17068</v>
      </c>
      <c r="C1845" t="n">
        <v>0.14863</v>
      </c>
    </row>
    <row r="1846">
      <c r="B1846" t="n">
        <v>0.16182</v>
      </c>
      <c r="C1846" t="n">
        <v>0.1554</v>
      </c>
    </row>
    <row r="1847">
      <c r="B1847" t="n">
        <v>0.21183</v>
      </c>
      <c r="C1847" t="n">
        <v>0.19147</v>
      </c>
    </row>
    <row r="1848">
      <c r="B1848" t="n">
        <v>0.19626</v>
      </c>
      <c r="C1848" t="n">
        <v>0.14676</v>
      </c>
    </row>
    <row r="1849">
      <c r="B1849" t="n">
        <v>0.18267</v>
      </c>
      <c r="C1849" t="n">
        <v>0.17743</v>
      </c>
    </row>
    <row r="1850">
      <c r="B1850" t="n">
        <v>0.18094</v>
      </c>
      <c r="C1850" t="n">
        <v>0.16885</v>
      </c>
    </row>
    <row r="1851">
      <c r="B1851" t="n">
        <v>0.20285</v>
      </c>
      <c r="C1851" t="n">
        <v>0.1885</v>
      </c>
    </row>
    <row r="1852">
      <c r="B1852" t="n">
        <v>0.19215</v>
      </c>
      <c r="C1852" t="n">
        <v>0.16892</v>
      </c>
    </row>
    <row r="1853">
      <c r="B1853" t="n">
        <v>0.17441</v>
      </c>
      <c r="C1853" t="n">
        <v>0.16921</v>
      </c>
    </row>
    <row r="1854">
      <c r="B1854" t="n">
        <v>0.18428</v>
      </c>
      <c r="C1854" t="n">
        <v>0.17266</v>
      </c>
    </row>
    <row r="1855">
      <c r="B1855" t="n">
        <v>0.19468</v>
      </c>
      <c r="C1855" t="n">
        <v>0.15817</v>
      </c>
    </row>
    <row r="1856">
      <c r="B1856" t="n">
        <v>0.20449</v>
      </c>
      <c r="C1856" t="n">
        <v>0.15712</v>
      </c>
    </row>
    <row r="1857">
      <c r="B1857" t="n">
        <v>0.18248</v>
      </c>
      <c r="C1857" t="n">
        <v>0.14731</v>
      </c>
    </row>
    <row r="1858">
      <c r="B1858" t="n">
        <v>0.19822</v>
      </c>
      <c r="C1858" t="n">
        <v>0.1569</v>
      </c>
    </row>
    <row r="1859">
      <c r="B1859" t="n">
        <v>0.18784</v>
      </c>
      <c r="C1859" t="n">
        <v>0.17894</v>
      </c>
    </row>
    <row r="1860">
      <c r="B1860" t="n">
        <v>0.15713</v>
      </c>
      <c r="C1860" t="n">
        <v>0.14657</v>
      </c>
    </row>
    <row r="1861">
      <c r="B1861" t="n">
        <v>0.22451</v>
      </c>
      <c r="C1861" t="n">
        <v>0.19564</v>
      </c>
    </row>
    <row r="1862">
      <c r="B1862" t="n">
        <v>0.15947</v>
      </c>
      <c r="C1862" t="n">
        <v>0.15336</v>
      </c>
    </row>
    <row r="1863">
      <c r="B1863" t="n">
        <v>0.18269</v>
      </c>
      <c r="C1863" t="n">
        <v>0.1387</v>
      </c>
    </row>
    <row r="1864">
      <c r="B1864" t="n">
        <v>0.21779</v>
      </c>
      <c r="C1864" t="n">
        <v>0.17262</v>
      </c>
    </row>
    <row r="1865">
      <c r="B1865" t="n">
        <v>0.17975</v>
      </c>
      <c r="C1865" t="n">
        <v>0.15905</v>
      </c>
    </row>
    <row r="1866">
      <c r="B1866" t="n">
        <v>0.19702</v>
      </c>
      <c r="C1866" t="n">
        <v>0.15304</v>
      </c>
    </row>
    <row r="1867">
      <c r="B1867" t="n">
        <v>0.18634</v>
      </c>
      <c r="C1867" t="n">
        <v>0.14965</v>
      </c>
    </row>
    <row r="1868">
      <c r="B1868" t="n">
        <v>0.18488</v>
      </c>
      <c r="C1868" t="n">
        <v>0.15355</v>
      </c>
    </row>
    <row r="1869">
      <c r="B1869" t="n">
        <v>0.19523</v>
      </c>
      <c r="C1869" t="n">
        <v>0.16452</v>
      </c>
    </row>
    <row r="1870">
      <c r="B1870" t="n">
        <v>0.15147</v>
      </c>
      <c r="C1870" t="n">
        <v>0.14659</v>
      </c>
    </row>
    <row r="1871">
      <c r="B1871" t="n">
        <v>0.17453</v>
      </c>
      <c r="C1871" t="n">
        <v>0.15818</v>
      </c>
    </row>
    <row r="1872">
      <c r="B1872" t="n">
        <v>0.17295</v>
      </c>
      <c r="C1872" t="n">
        <v>0.17062</v>
      </c>
    </row>
    <row r="1873">
      <c r="B1873" t="n">
        <v>0.18001</v>
      </c>
      <c r="C1873" t="n">
        <v>0.17745</v>
      </c>
    </row>
    <row r="1874">
      <c r="B1874" t="n">
        <v>0.15526</v>
      </c>
      <c r="C1874" t="n">
        <v>0.14543</v>
      </c>
    </row>
    <row r="1875">
      <c r="B1875" t="n">
        <v>0.16213</v>
      </c>
      <c r="C1875" t="n">
        <v>0.16155</v>
      </c>
    </row>
    <row r="1876">
      <c r="B1876" t="n">
        <v>0.19524</v>
      </c>
      <c r="C1876" t="n">
        <v>0.17366</v>
      </c>
    </row>
    <row r="1877">
      <c r="B1877" t="n">
        <v>0.22172</v>
      </c>
      <c r="C1877" t="n">
        <v>0.15957</v>
      </c>
    </row>
    <row r="1878">
      <c r="B1878" t="n">
        <v>0.19567</v>
      </c>
      <c r="C1878" t="n">
        <v>0.16363</v>
      </c>
    </row>
    <row r="1879">
      <c r="B1879" t="n">
        <v>0.20359</v>
      </c>
      <c r="C1879" t="n">
        <v>0.16857</v>
      </c>
    </row>
    <row r="1880">
      <c r="B1880" t="n">
        <v>0.15527</v>
      </c>
      <c r="C1880" t="n">
        <v>0.13403</v>
      </c>
    </row>
    <row r="1881">
      <c r="B1881" t="n">
        <v>0.18356</v>
      </c>
      <c r="C1881" t="n">
        <v>0.17129</v>
      </c>
    </row>
    <row r="1882">
      <c r="B1882" t="n">
        <v>0.17201</v>
      </c>
      <c r="C1882" t="n">
        <v>0.16807</v>
      </c>
    </row>
    <row r="1883">
      <c r="B1883" t="n">
        <v>0.198</v>
      </c>
      <c r="C1883" t="n">
        <v>0.18541</v>
      </c>
    </row>
    <row r="1884">
      <c r="B1884" t="n">
        <v>0.17617</v>
      </c>
      <c r="C1884" t="n">
        <v>0.16249</v>
      </c>
    </row>
    <row r="1885">
      <c r="B1885" t="n">
        <v>0.17556</v>
      </c>
      <c r="C1885" t="n">
        <v>0.15414</v>
      </c>
    </row>
    <row r="1886">
      <c r="B1886" t="n">
        <v>0.18586</v>
      </c>
      <c r="C1886" t="n">
        <v>0.17008</v>
      </c>
    </row>
    <row r="1887">
      <c r="B1887" t="n">
        <v>0.18661</v>
      </c>
      <c r="C1887" t="n">
        <v>0.15263</v>
      </c>
    </row>
    <row r="1888">
      <c r="B1888" t="n">
        <v>0.1725</v>
      </c>
      <c r="C1888" t="n">
        <v>0.16515</v>
      </c>
    </row>
    <row r="1889">
      <c r="B1889" t="n">
        <v>0.17994</v>
      </c>
      <c r="C1889" t="n">
        <v>0.14769</v>
      </c>
    </row>
    <row r="1890">
      <c r="B1890" t="n">
        <v>0.1918</v>
      </c>
      <c r="C1890" t="n">
        <v>0.15882</v>
      </c>
    </row>
    <row r="1891">
      <c r="B1891" t="n">
        <v>0.17454</v>
      </c>
      <c r="C1891" t="n">
        <v>0.15316</v>
      </c>
    </row>
    <row r="1892">
      <c r="B1892" t="n">
        <v>0.15706</v>
      </c>
      <c r="C1892" t="n">
        <v>0.14016</v>
      </c>
    </row>
    <row r="1893">
      <c r="B1893" t="n">
        <v>0.20871</v>
      </c>
      <c r="C1893" t="n">
        <v>0.19346</v>
      </c>
    </row>
    <row r="1894">
      <c r="B1894" t="n">
        <v>0.17107</v>
      </c>
      <c r="C1894" t="n">
        <v>0.14895</v>
      </c>
    </row>
    <row r="1895">
      <c r="B1895" t="n">
        <v>0.20984</v>
      </c>
      <c r="C1895" t="n">
        <v>0.16184</v>
      </c>
    </row>
    <row r="1896">
      <c r="B1896" t="n">
        <v>0.17724</v>
      </c>
      <c r="C1896" t="n">
        <v>0.15209</v>
      </c>
    </row>
    <row r="1897">
      <c r="B1897" t="n">
        <v>0.16769</v>
      </c>
      <c r="C1897" t="n">
        <v>0.14025</v>
      </c>
    </row>
    <row r="1898">
      <c r="B1898" t="n">
        <v>0.18283</v>
      </c>
      <c r="C1898" t="n">
        <v>0.16077</v>
      </c>
    </row>
    <row r="1899">
      <c r="B1899" t="n">
        <v>0.16659</v>
      </c>
      <c r="C1899" t="n">
        <v>0.15519</v>
      </c>
    </row>
    <row r="1900">
      <c r="B1900" t="n">
        <v>0.16135</v>
      </c>
      <c r="C1900" t="n">
        <v>0.15961</v>
      </c>
    </row>
    <row r="1901">
      <c r="B1901" t="n">
        <v>0.1891</v>
      </c>
      <c r="C1901" t="n">
        <v>0.15258</v>
      </c>
    </row>
    <row r="1902">
      <c r="B1902" t="n">
        <v>0.2305</v>
      </c>
      <c r="C1902" t="n">
        <v>0.15836</v>
      </c>
    </row>
    <row r="1903">
      <c r="B1903" t="n">
        <v>0.18013</v>
      </c>
      <c r="C1903" t="n">
        <v>0.15095</v>
      </c>
    </row>
    <row r="1904">
      <c r="B1904" t="n">
        <v>0.18637</v>
      </c>
      <c r="C1904" t="n">
        <v>0.16406</v>
      </c>
    </row>
    <row r="1905">
      <c r="B1905" t="n">
        <v>0.19914</v>
      </c>
      <c r="C1905" t="n">
        <v>0.16573</v>
      </c>
    </row>
    <row r="1906">
      <c r="B1906" t="n">
        <v>0.17254</v>
      </c>
      <c r="C1906" t="n">
        <v>0.16308</v>
      </c>
    </row>
    <row r="1907">
      <c r="B1907" t="n">
        <v>0.18633</v>
      </c>
      <c r="C1907" t="n">
        <v>0.15536</v>
      </c>
    </row>
    <row r="1908">
      <c r="B1908" t="n">
        <v>0.1937</v>
      </c>
      <c r="C1908" t="n">
        <v>0.17173</v>
      </c>
    </row>
    <row r="1909">
      <c r="B1909" t="n">
        <v>0.15564</v>
      </c>
      <c r="C1909" t="n">
        <v>0.154</v>
      </c>
    </row>
    <row r="1910">
      <c r="B1910" t="n">
        <v>0.19908</v>
      </c>
      <c r="C1910" t="n">
        <v>0.1617</v>
      </c>
    </row>
    <row r="1911">
      <c r="B1911" t="n">
        <v>0.16797</v>
      </c>
      <c r="C1911" t="n">
        <v>0.15302</v>
      </c>
    </row>
    <row r="1912">
      <c r="B1912" t="n">
        <v>0.22595</v>
      </c>
      <c r="C1912" t="n">
        <v>0.16213</v>
      </c>
    </row>
    <row r="1913">
      <c r="B1913" t="n">
        <v>0.1643</v>
      </c>
      <c r="C1913" t="n">
        <v>0.16015</v>
      </c>
    </row>
    <row r="1914">
      <c r="B1914" t="n">
        <v>0.15932</v>
      </c>
      <c r="C1914" t="n">
        <v>0.15973</v>
      </c>
    </row>
    <row r="1915">
      <c r="B1915" t="n">
        <v>0.20663</v>
      </c>
      <c r="C1915" t="n">
        <v>0.15887</v>
      </c>
    </row>
    <row r="1916">
      <c r="B1916" t="n">
        <v>0.17376</v>
      </c>
      <c r="C1916" t="n">
        <v>0.15839</v>
      </c>
    </row>
    <row r="1917">
      <c r="B1917" t="n">
        <v>0.19142</v>
      </c>
      <c r="C1917" t="n">
        <v>0.17186</v>
      </c>
    </row>
    <row r="1918">
      <c r="B1918" t="n">
        <v>0.20288</v>
      </c>
      <c r="C1918" t="n">
        <v>0.15106</v>
      </c>
    </row>
    <row r="1919">
      <c r="B1919" t="n">
        <v>0.1899</v>
      </c>
      <c r="C1919" t="n">
        <v>0.1796</v>
      </c>
    </row>
    <row r="1920">
      <c r="B1920" t="n">
        <v>0.21962</v>
      </c>
      <c r="C1920" t="n">
        <v>0.19838</v>
      </c>
    </row>
    <row r="1921">
      <c r="B1921" t="n">
        <v>0.22183</v>
      </c>
      <c r="C1921" t="n">
        <v>0.15571</v>
      </c>
    </row>
    <row r="1922">
      <c r="B1922" t="n">
        <v>0.22785</v>
      </c>
      <c r="C1922" t="n">
        <v>0.15675</v>
      </c>
    </row>
    <row r="1923">
      <c r="B1923" t="n">
        <v>0.17533</v>
      </c>
      <c r="C1923" t="n">
        <v>0.1507</v>
      </c>
    </row>
    <row r="1924">
      <c r="B1924" t="n">
        <v>0.18604</v>
      </c>
      <c r="C1924" t="n">
        <v>0.17796</v>
      </c>
    </row>
    <row r="1925">
      <c r="B1925" t="n">
        <v>0.19176</v>
      </c>
      <c r="C1925" t="n">
        <v>0.17003</v>
      </c>
    </row>
    <row r="1926">
      <c r="B1926" t="n">
        <v>0.19883</v>
      </c>
      <c r="C1926" t="n">
        <v>0.17197</v>
      </c>
    </row>
    <row r="1927">
      <c r="B1927" t="n">
        <v>0.1852</v>
      </c>
      <c r="C1927" t="n">
        <v>0.15865</v>
      </c>
    </row>
    <row r="1928">
      <c r="B1928" t="n">
        <v>0.20164</v>
      </c>
      <c r="C1928" t="n">
        <v>0.18964</v>
      </c>
    </row>
    <row r="1929">
      <c r="B1929" t="n">
        <v>0.17955</v>
      </c>
      <c r="C1929" t="n">
        <v>0.16077</v>
      </c>
    </row>
    <row r="1930">
      <c r="B1930" t="n">
        <v>0.17418</v>
      </c>
      <c r="C1930" t="n">
        <v>0.15149</v>
      </c>
    </row>
    <row r="1931">
      <c r="B1931" t="n">
        <v>0.22769</v>
      </c>
      <c r="C1931" t="n">
        <v>0.17725</v>
      </c>
    </row>
    <row r="1932">
      <c r="B1932" t="n">
        <v>0.17562</v>
      </c>
      <c r="C1932" t="n">
        <v>0.1547</v>
      </c>
    </row>
    <row r="1933">
      <c r="B1933" t="n">
        <v>0.15424</v>
      </c>
      <c r="C1933" t="n">
        <v>0.14423</v>
      </c>
    </row>
    <row r="1934">
      <c r="B1934" t="n">
        <v>0.22136</v>
      </c>
      <c r="C1934" t="n">
        <v>0.19781</v>
      </c>
    </row>
    <row r="1935">
      <c r="B1935" t="n">
        <v>0.16953</v>
      </c>
      <c r="C1935" t="n">
        <v>0.14986</v>
      </c>
    </row>
    <row r="1936">
      <c r="B1936" t="n">
        <v>0.18782</v>
      </c>
      <c r="C1936" t="n">
        <v>0.16243</v>
      </c>
    </row>
    <row r="1937">
      <c r="B1937" t="n">
        <v>0.17747</v>
      </c>
      <c r="C1937" t="n">
        <v>0.16584</v>
      </c>
    </row>
    <row r="1938">
      <c r="B1938" t="n">
        <v>0.20336</v>
      </c>
      <c r="C1938" t="n">
        <v>0.16145</v>
      </c>
    </row>
    <row r="1939">
      <c r="B1939" t="n">
        <v>0.17832</v>
      </c>
      <c r="C1939" t="n">
        <v>0.16495</v>
      </c>
    </row>
    <row r="1940">
      <c r="B1940" t="n">
        <v>0.16862</v>
      </c>
      <c r="C1940" t="n">
        <v>0.16238</v>
      </c>
    </row>
    <row r="1941">
      <c r="B1941" t="n">
        <v>0.22839</v>
      </c>
      <c r="C1941" t="n">
        <v>0.16236</v>
      </c>
    </row>
    <row r="1942">
      <c r="B1942" t="n">
        <v>0.16362</v>
      </c>
      <c r="C1942" t="n">
        <v>0.15209</v>
      </c>
    </row>
    <row r="1943">
      <c r="B1943" t="n">
        <v>0.16084</v>
      </c>
      <c r="C1943" t="n">
        <v>0.15306</v>
      </c>
    </row>
    <row r="1944">
      <c r="B1944" t="n">
        <v>0.15756</v>
      </c>
      <c r="C1944" t="n">
        <v>0.15652</v>
      </c>
    </row>
    <row r="1945">
      <c r="B1945" t="n">
        <v>0.17456</v>
      </c>
      <c r="C1945" t="n">
        <v>0.14436</v>
      </c>
    </row>
    <row r="1946">
      <c r="B1946" t="n">
        <v>0.19085</v>
      </c>
      <c r="C1946" t="n">
        <v>0.17264</v>
      </c>
    </row>
    <row r="1947">
      <c r="B1947" t="n">
        <v>0.17234</v>
      </c>
      <c r="C1947" t="n">
        <v>0.14829</v>
      </c>
    </row>
    <row r="1948">
      <c r="B1948" t="n">
        <v>0.18118</v>
      </c>
      <c r="C1948" t="n">
        <v>0.16614</v>
      </c>
    </row>
    <row r="1949">
      <c r="B1949" t="n">
        <v>0.18723</v>
      </c>
      <c r="C1949" t="n">
        <v>0.15921</v>
      </c>
    </row>
    <row r="1950">
      <c r="B1950" t="n">
        <v>0.19952</v>
      </c>
      <c r="C1950" t="n">
        <v>0.18069</v>
      </c>
    </row>
    <row r="1951">
      <c r="B1951" t="n">
        <v>0.18727</v>
      </c>
      <c r="C1951" t="n">
        <v>0.16714</v>
      </c>
    </row>
    <row r="1952">
      <c r="B1952" t="n">
        <v>0.18001</v>
      </c>
      <c r="C1952" t="n">
        <v>0.15848</v>
      </c>
    </row>
    <row r="1953">
      <c r="B1953" t="n">
        <v>0.17332</v>
      </c>
      <c r="C1953" t="n">
        <v>0.16502</v>
      </c>
    </row>
    <row r="1954">
      <c r="B1954" t="n">
        <v>0.19075</v>
      </c>
      <c r="C1954" t="n">
        <v>0.16549</v>
      </c>
    </row>
    <row r="1955">
      <c r="B1955" t="n">
        <v>0.15347</v>
      </c>
      <c r="C1955" t="n">
        <v>0.14358</v>
      </c>
    </row>
    <row r="1956">
      <c r="B1956" t="n">
        <v>0.19799</v>
      </c>
      <c r="C1956" t="n">
        <v>0.16016</v>
      </c>
    </row>
    <row r="1957">
      <c r="B1957" t="n">
        <v>0.17467</v>
      </c>
      <c r="C1957" t="n">
        <v>0.15106</v>
      </c>
    </row>
    <row r="1958">
      <c r="B1958" t="n">
        <v>0.16072</v>
      </c>
      <c r="C1958" t="n">
        <v>0.13517</v>
      </c>
    </row>
    <row r="1959">
      <c r="B1959" t="n">
        <v>0.19366</v>
      </c>
      <c r="C1959" t="n">
        <v>0.16002</v>
      </c>
    </row>
    <row r="1960">
      <c r="B1960" t="n">
        <v>0.16772</v>
      </c>
      <c r="C1960" t="n">
        <v>0.16884</v>
      </c>
    </row>
    <row r="1961">
      <c r="B1961" t="n">
        <v>0.1898</v>
      </c>
      <c r="C1961" t="n">
        <v>0.15512</v>
      </c>
    </row>
    <row r="1962">
      <c r="B1962" t="n">
        <v>0.1708</v>
      </c>
      <c r="C1962" t="n">
        <v>0.1484</v>
      </c>
    </row>
    <row r="1963">
      <c r="B1963" t="n">
        <v>0.20031</v>
      </c>
      <c r="C1963" t="n">
        <v>0.18385</v>
      </c>
    </row>
    <row r="1964">
      <c r="B1964" t="n">
        <v>0.18762</v>
      </c>
      <c r="C1964" t="n">
        <v>0.17426</v>
      </c>
    </row>
    <row r="1965">
      <c r="B1965" t="n">
        <v>0.20712</v>
      </c>
      <c r="C1965" t="n">
        <v>0.18431</v>
      </c>
    </row>
    <row r="1966">
      <c r="B1966" t="n">
        <v>0.1742</v>
      </c>
      <c r="C1966" t="n">
        <v>0.1577</v>
      </c>
    </row>
    <row r="1967">
      <c r="B1967" t="n">
        <v>0.18478</v>
      </c>
      <c r="C1967" t="n">
        <v>0.17283</v>
      </c>
    </row>
    <row r="1968">
      <c r="B1968" t="n">
        <v>0.1978</v>
      </c>
      <c r="C1968" t="n">
        <v>0.17358</v>
      </c>
    </row>
    <row r="1969">
      <c r="B1969" t="n">
        <v>0.24289</v>
      </c>
      <c r="C1969" t="n">
        <v>0.20731</v>
      </c>
    </row>
    <row r="1970">
      <c r="B1970" t="n">
        <v>0.15753</v>
      </c>
      <c r="C1970" t="n">
        <v>0.14081</v>
      </c>
    </row>
    <row r="1971">
      <c r="B1971" t="n">
        <v>0.18132</v>
      </c>
      <c r="C1971" t="n">
        <v>0.15213</v>
      </c>
    </row>
    <row r="1972">
      <c r="B1972" t="n">
        <v>0.1931</v>
      </c>
      <c r="C1972" t="n">
        <v>0.16111</v>
      </c>
    </row>
    <row r="1973">
      <c r="B1973" t="n">
        <v>0.19614</v>
      </c>
      <c r="C1973" t="n">
        <v>0.15514</v>
      </c>
    </row>
    <row r="1974">
      <c r="B1974" t="n">
        <v>0.17507</v>
      </c>
      <c r="C1974" t="n">
        <v>0.15321</v>
      </c>
    </row>
    <row r="1975">
      <c r="B1975" t="n">
        <v>0.17554</v>
      </c>
      <c r="C1975" t="n">
        <v>0.15545</v>
      </c>
    </row>
    <row r="1976">
      <c r="B1976" t="n">
        <v>0.18722</v>
      </c>
      <c r="C1976" t="n">
        <v>0.15446</v>
      </c>
    </row>
    <row r="1977">
      <c r="B1977" t="n">
        <v>0.18404</v>
      </c>
      <c r="C1977" t="n">
        <v>0.1644</v>
      </c>
    </row>
    <row r="1978">
      <c r="B1978" t="n">
        <v>0.15632</v>
      </c>
      <c r="C1978" t="n">
        <v>0.14118</v>
      </c>
    </row>
    <row r="1979">
      <c r="B1979" t="n">
        <v>0.20813</v>
      </c>
      <c r="C1979" t="n">
        <v>0.15146</v>
      </c>
    </row>
    <row r="1980">
      <c r="B1980" t="n">
        <v>0.15512</v>
      </c>
      <c r="C1980" t="n">
        <v>0.13614</v>
      </c>
    </row>
    <row r="1981">
      <c r="B1981" t="n">
        <v>0.19358</v>
      </c>
      <c r="C1981" t="n">
        <v>0.15287</v>
      </c>
    </row>
    <row r="1982">
      <c r="B1982" t="n">
        <v>0.18306</v>
      </c>
      <c r="C1982" t="n">
        <v>0.15379</v>
      </c>
    </row>
    <row r="1983">
      <c r="B1983" t="n">
        <v>0.17521</v>
      </c>
      <c r="C1983" t="n">
        <v>0.15488</v>
      </c>
    </row>
    <row r="1984">
      <c r="B1984" t="n">
        <v>0.19304</v>
      </c>
      <c r="C1984" t="n">
        <v>0.17915</v>
      </c>
    </row>
    <row r="1985">
      <c r="B1985" t="n">
        <v>0.17741</v>
      </c>
      <c r="C1985" t="n">
        <v>0.16802</v>
      </c>
    </row>
    <row r="1986">
      <c r="B1986" t="n">
        <v>0.17563</v>
      </c>
      <c r="C1986" t="n">
        <v>0.14898</v>
      </c>
    </row>
    <row r="1987">
      <c r="B1987" t="n">
        <v>0.24092</v>
      </c>
      <c r="C1987" t="n">
        <v>0.20357</v>
      </c>
    </row>
    <row r="1988">
      <c r="B1988" t="n">
        <v>0.1535</v>
      </c>
      <c r="C1988" t="n">
        <v>0.15334</v>
      </c>
    </row>
    <row r="1989">
      <c r="B1989" t="n">
        <v>0.17043</v>
      </c>
      <c r="C1989" t="n">
        <v>0.16587</v>
      </c>
    </row>
    <row r="1990">
      <c r="B1990" t="n">
        <v>0.20015</v>
      </c>
      <c r="C1990" t="n">
        <v>0.16178</v>
      </c>
    </row>
    <row r="1991">
      <c r="B1991" t="n">
        <v>0.16337</v>
      </c>
      <c r="C1991" t="n">
        <v>0.16115</v>
      </c>
    </row>
    <row r="1992">
      <c r="B1992" t="n">
        <v>0.18499</v>
      </c>
      <c r="C1992" t="n">
        <v>0.17711</v>
      </c>
    </row>
    <row r="1993">
      <c r="B1993" t="n">
        <v>0.15814</v>
      </c>
      <c r="C1993" t="n">
        <v>0.15358</v>
      </c>
    </row>
    <row r="1994">
      <c r="B1994" t="n">
        <v>0.18884</v>
      </c>
      <c r="C1994" t="n">
        <v>0.17872</v>
      </c>
    </row>
    <row r="1995">
      <c r="B1995" t="n">
        <v>0.1924</v>
      </c>
      <c r="C1995" t="n">
        <v>0.16062</v>
      </c>
    </row>
    <row r="1996">
      <c r="B1996" t="n">
        <v>0.18496</v>
      </c>
      <c r="C1996" t="n">
        <v>0.1769</v>
      </c>
    </row>
    <row r="1997">
      <c r="B1997" t="n">
        <v>0.15624</v>
      </c>
      <c r="C1997" t="n">
        <v>0.15302</v>
      </c>
    </row>
    <row r="1998">
      <c r="B1998" t="n">
        <v>0.18902</v>
      </c>
      <c r="C1998" t="n">
        <v>0.14682</v>
      </c>
    </row>
    <row r="1999">
      <c r="B1999" t="n">
        <v>0.16595</v>
      </c>
      <c r="C1999" t="n">
        <v>0.16631</v>
      </c>
    </row>
    <row r="2000">
      <c r="B2000" t="n">
        <v>0.18255</v>
      </c>
      <c r="C2000" t="n">
        <v>0.15105</v>
      </c>
    </row>
    <row r="2001">
      <c r="B2001" t="n">
        <v>0.15824</v>
      </c>
      <c r="C2001" t="n">
        <v>0.15214</v>
      </c>
    </row>
    <row r="2002">
      <c r="B2002" t="n">
        <v>0.20346</v>
      </c>
      <c r="C2002" t="n">
        <v>0.15448</v>
      </c>
    </row>
    <row r="2003">
      <c r="B2003" t="n">
        <v>0.17477</v>
      </c>
      <c r="C2003" t="n">
        <v>0.16434</v>
      </c>
    </row>
    <row r="2004">
      <c r="B2004" t="n">
        <v>0.18881</v>
      </c>
      <c r="C2004" t="n">
        <v>0.16317</v>
      </c>
    </row>
    <row r="2005">
      <c r="B2005" t="n">
        <v>0.16284</v>
      </c>
      <c r="C2005" t="n">
        <v>0.1548</v>
      </c>
    </row>
    <row r="2008">
      <c r="B2008" s="3" t="inlineStr">
        <is>
          <t>Scenario Comparison</t>
        </is>
      </c>
    </row>
    <row r="2009">
      <c r="B2009" s="5" t="inlineStr">
        <is>
          <t>Scenario</t>
        </is>
      </c>
      <c r="C2009" s="5" t="inlineStr">
        <is>
          <t>Expected Return</t>
        </is>
      </c>
      <c r="D2009" s="5" t="inlineStr">
        <is>
          <t>Risk (Std Dev)</t>
        </is>
      </c>
      <c r="E2009" s="5" t="inlineStr">
        <is>
          <t>Sharpe Ratio</t>
        </is>
      </c>
    </row>
    <row r="2010">
      <c r="B2010" s="6" t="inlineStr">
        <is>
          <t>Equal Weight (1/6 each)</t>
        </is>
      </c>
      <c r="C2010" s="16" t="n">
        <v>0.1633</v>
      </c>
      <c r="D2010" s="16" t="n">
        <v>0.1677</v>
      </c>
      <c r="E2010" s="6" t="n">
        <v>0.318</v>
      </c>
    </row>
    <row r="2011">
      <c r="B2011" s="6" t="inlineStr">
        <is>
          <t>Minimum Variance</t>
        </is>
      </c>
      <c r="C2011" s="16" t="n">
        <v>0.1453</v>
      </c>
      <c r="D2011" s="16" t="n">
        <v>0.1512</v>
      </c>
      <c r="E2011" s="6" t="n">
        <v>0.234</v>
      </c>
    </row>
    <row r="2012">
      <c r="B2012" s="6" t="inlineStr">
        <is>
          <t>Maximum Sharpe</t>
        </is>
      </c>
      <c r="C2012" s="16" t="n">
        <v>0.2038</v>
      </c>
      <c r="D2012" s="16" t="n">
        <v>0.2316</v>
      </c>
      <c r="E2012" s="6" t="n">
        <v>0.405</v>
      </c>
    </row>
    <row r="2015">
      <c r="B2015" s="3" t="inlineStr">
        <is>
          <t>Optimal Weights by Scenario</t>
        </is>
      </c>
    </row>
    <row r="2016">
      <c r="B2016" s="5" t="inlineStr">
        <is>
          <t>Stock</t>
        </is>
      </c>
      <c r="C2016" s="5" t="inlineStr">
        <is>
          <t>Equal Weight (1/6 each)</t>
        </is>
      </c>
      <c r="D2016" s="5" t="inlineStr">
        <is>
          <t>Minimum Variance</t>
        </is>
      </c>
      <c r="E2016" s="5" t="inlineStr">
        <is>
          <t>Maximum Sharpe</t>
        </is>
      </c>
    </row>
    <row r="2017">
      <c r="B2017" s="6" t="inlineStr">
        <is>
          <t>Lucky Cement</t>
        </is>
      </c>
      <c r="C2017" s="17" t="n">
        <v>0.167</v>
      </c>
      <c r="D2017" s="17" t="n">
        <v>0.036</v>
      </c>
      <c r="E2017" s="17" t="n">
        <v>0.124</v>
      </c>
    </row>
    <row r="2018">
      <c r="B2018" s="6" t="inlineStr">
        <is>
          <t>Engro Corporation</t>
        </is>
      </c>
      <c r="C2018" s="17" t="n">
        <v>0.167</v>
      </c>
      <c r="D2018" s="17" t="n">
        <v>0.138</v>
      </c>
      <c r="E2018" s="17" t="n">
        <v>0.024</v>
      </c>
    </row>
    <row r="2019">
      <c r="B2019" s="6" t="inlineStr">
        <is>
          <t>Systems Limited</t>
        </is>
      </c>
      <c r="C2019" s="17" t="n">
        <v>0.167</v>
      </c>
      <c r="D2019" s="17" t="n">
        <v>0.125</v>
      </c>
      <c r="E2019" s="17" t="n">
        <v>0.543</v>
      </c>
    </row>
    <row r="2020">
      <c r="B2020" s="6" t="inlineStr">
        <is>
          <t>Fauji Fertilizer Company</t>
        </is>
      </c>
      <c r="C2020" s="17" t="n">
        <v>0.167</v>
      </c>
      <c r="D2020" s="17" t="n">
        <v>0.124</v>
      </c>
      <c r="E2020" s="17" t="n">
        <v>0.06</v>
      </c>
    </row>
    <row r="2021">
      <c r="B2021" s="6" t="inlineStr">
        <is>
          <t>Nestle Pakistan</t>
        </is>
      </c>
      <c r="C2021" s="17" t="n">
        <v>0.167</v>
      </c>
      <c r="D2021" s="17" t="n">
        <v>0.531</v>
      </c>
      <c r="E2021" s="17" t="n">
        <v>0.013</v>
      </c>
    </row>
    <row r="2022">
      <c r="B2022" s="6" t="inlineStr">
        <is>
          <t>Millat Tractors</t>
        </is>
      </c>
      <c r="C2022" s="17" t="n">
        <v>0.167</v>
      </c>
      <c r="D2022" s="17" t="n">
        <v>0.046</v>
      </c>
      <c r="E2022" s="17" t="n">
        <v>0.235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8" t="inlineStr">
        <is>
          <t>1. Of the 15 PSX companies screened, both conventional banks (Meezan is an Islamic bank and correctly stays out of</t>
        </is>
      </c>
    </row>
    <row r="5">
      <c r="B5" s="18" t="inlineStr">
        <is>
          <t xml:space="preserve">   this test set for comparison; MCB Bank and Bank Alfalah) fail on Debt/Assets and Non-Compliant Income - as</t>
        </is>
      </c>
    </row>
    <row r="6">
      <c r="B6" s="18" t="inlineStr">
        <is>
          <t xml:space="preserve">   expected, since deposit-taking conventional banks are structurally interest-based and are excluded by design</t>
        </is>
      </c>
    </row>
    <row r="7">
      <c r="B7" s="18" t="inlineStr">
        <is>
          <t xml:space="preserve">   from every Islamic index globally, not only KMI-30.</t>
        </is>
      </c>
    </row>
    <row r="8">
      <c r="B8" s="18" t="inlineStr">
        <is>
          <t>2. Pakistan Tobacco Company fails purely on the Core Business Activity test (Test 1) despite having conservative</t>
        </is>
      </c>
    </row>
    <row r="9">
      <c r="B9" s="18" t="inlineStr">
        <is>
          <t xml:space="preserve">   balance-sheet ratios - a reminder that the qualitative business-activity screen can override otherwise healthy</t>
        </is>
      </c>
    </row>
    <row r="10">
      <c r="B10" s="18" t="inlineStr">
        <is>
          <t xml:space="preserve">   financial ratios, which is exactly how AAOIFI intends the framework to work.</t>
        </is>
      </c>
    </row>
    <row r="11">
      <c r="B11" s="18" t="inlineStr">
        <is>
          <t>3. Hub Power Company passes but sits close to the Debt/Assets threshold (42% would fail; illustrative figure here</t>
        </is>
      </c>
    </row>
    <row r="12">
      <c r="B12" s="18" t="inlineStr">
        <is>
          <t xml:space="preserve">   is compliant) - capital-intensive power/utility companies are a common 'edge case' sector for Islamic screening,</t>
        </is>
      </c>
    </row>
    <row r="13">
      <c r="B13" s="18" t="inlineStr">
        <is>
          <t xml:space="preserve">   which is why AAOIFI reviews these ratios annually rather than once.</t>
        </is>
      </c>
    </row>
    <row r="14">
      <c r="B14" s="18" t="inlineStr">
        <is>
          <t>4. Among the 6 compliant stocks taken into the optimizer, Systems Limited (IT services) has the highest expected</t>
        </is>
      </c>
    </row>
    <row r="15">
      <c r="B15" s="18" t="inlineStr">
        <is>
          <t xml:space="preserve">   return AND highest volatility with LOW correlation to the cement/fertilizer names - it is the main diversifier</t>
        </is>
      </c>
    </row>
    <row r="16">
      <c r="B16" s="18" t="inlineStr">
        <is>
          <t xml:space="preserve">   pulling the Maximum-Sharpe portfolio's risk down relative to an equal-weighted mix.</t>
        </is>
      </c>
    </row>
    <row r="17">
      <c r="B17" s="18" t="inlineStr">
        <is>
          <t>5. The Minimum-Variance portfolio leans heavily on Nestle Pakistan and Fauji Fertilizer - the two lowest-volatility,</t>
        </is>
      </c>
    </row>
    <row r="18">
      <c r="B18" s="18" t="inlineStr">
        <is>
          <t xml:space="preserve">   moderately-correlated names - exactly what mean-variance theory predicts.</t>
        </is>
      </c>
    </row>
    <row r="19">
      <c r="B19" s="18" t="inlineStr"/>
    </row>
    <row r="20">
      <c r="B20" s="18" t="inlineStr">
        <is>
          <t>WHY THIS MATTERS</t>
        </is>
      </c>
    </row>
    <row r="21">
      <c r="B21" s="18" t="inlineStr">
        <is>
          <t>This tool combines two things retail Islamic investors in Pakistan currently have to do separately (find out which</t>
        </is>
      </c>
    </row>
    <row r="22">
      <c r="B22" s="18" t="inlineStr">
        <is>
          <t>stocks are actually Shariah-compliant, and then figure out how to combine them into a diversified portfolio) into</t>
        </is>
      </c>
    </row>
    <row r="23">
      <c r="B23" s="18" t="inlineStr">
        <is>
          <t>one transparent, auditable spreadsheet - directly relevant to Pakistan's large underserved Islamic-finance retail</t>
        </is>
      </c>
    </row>
    <row r="24">
      <c r="B24" s="18" t="inlineStr">
        <is>
          <t>market and to fintechs (e.g. Meezan's own digital platforms) building self-serve halal investing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2026-09-13T12:10:16Z</dcterms:created>
  <dcterms:modified xsi:type="dcterms:W3CDTF">2026-09-13T12:10:16Z</dcterms:modified>
</cp:coreProperties>
</file>