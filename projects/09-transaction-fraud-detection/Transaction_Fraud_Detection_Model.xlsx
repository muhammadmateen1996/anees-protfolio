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Transactions" sheetId="2" state="visible" r:id="rId2"/>
    <sheet name="Model Validation" sheetId="3" state="visible" r:id="rId3"/>
    <sheet name="Dashboard" sheetId="4" state="visible" r:id="rId4"/>
    <sheet name="Insights" sheetId="5" state="visible" r:id="rId5"/>
  </sheets>
  <definedNames>
    <definedName name="_xlnm._FilterDatabase" localSheetId="1" hidden="1">'Transactions'!$A$1:$J$301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666666"/>
      <sz val="10"/>
    </font>
    <font>
      <b val="1"/>
      <color rgb="001F3864"/>
      <sz val="12"/>
    </font>
    <font>
      <sz val="10"/>
    </font>
    <font>
      <b val="1"/>
      <color rgb="00FFFFFF"/>
      <sz val="11"/>
    </font>
    <font>
      <b val="1"/>
    </font>
    <font>
      <sz val="10.5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8C4D9"/>
      </left>
      <right style="thin">
        <color rgb="00B8C4D9"/>
      </right>
      <top style="thin">
        <color rgb="00B8C4D9"/>
      </top>
      <bottom style="thin">
        <color rgb="00B8C4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2" fontId="0" fillId="0" borderId="1" pivotButton="0" quotePrefix="0" xfId="0"/>
    <xf numFmtId="164" fontId="0" fillId="0" borderId="1" pivotButton="0" quotePrefix="0" xfId="0"/>
    <xf numFmtId="0" fontId="6" fillId="0" borderId="0" pivotButton="0" quotePrefix="0" xfId="0"/>
    <xf numFmtId="164" fontId="0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8CBAD"/>
        </patternFill>
      </fill>
    </dxf>
    <dxf>
      <fill>
        <patternFill patternType="solid">
          <fgColor rgb="00FF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Actual Fraud Rate by Risk-Score Decile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'Model Validation'!E5</f>
            </strRef>
          </tx>
          <spPr>
            <a:ln>
              <a:prstDash val="solid"/>
            </a:ln>
          </spPr>
          <cat>
            <numRef>
              <f>'Model Validation'!$B$6:$B$15</f>
            </numRef>
          </cat>
          <val>
            <numRef>
              <f>'Model Validation'!$E$6:$E$15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Rule Trigger Frequency (out of 300 transactions)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'Dashboard'!C21</f>
            </strRef>
          </tx>
          <spPr>
            <a:ln>
              <a:prstDash val="solid"/>
            </a:ln>
          </spPr>
          <cat>
            <numRef>
              <f>'Dashboard'!$B$22:$B$27</f>
            </numRef>
          </cat>
          <val>
            <numRef>
              <f>'Dashboard'!$C$22:$C$27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61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20</row>
      <rowOff>0</rowOff>
    </from>
    <ext cx="61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2" customWidth="1" min="2" max="2"/>
  </cols>
  <sheetData>
    <row r="2">
      <c r="B2" s="1" t="inlineStr">
        <is>
          <t>Digital Transaction Fraud Detection Model</t>
        </is>
      </c>
    </row>
    <row r="3">
      <c r="B3" s="2" t="inlineStr">
        <is>
          <t>A rule-based + statistical fraud-scoring engine for mobile wallet transactions, validated on a labelled sample</t>
        </is>
      </c>
    </row>
    <row r="5">
      <c r="B5" s="3" t="inlineStr">
        <is>
          <t>PURPOSE</t>
        </is>
      </c>
    </row>
    <row r="6">
      <c r="B6" s="4" t="inlineStr">
        <is>
          <t>Pakistan's mobile wallets (JazzCash, Easypaisa, SadaPay, NayaPay, bank apps) have made digital payments part of</t>
        </is>
      </c>
    </row>
    <row r="7">
      <c r="B7" s="4" t="inlineStr">
        <is>
          <t>daily life for tens of millions of people - and fraud has scaled right alongside them. The State Bank of</t>
        </is>
      </c>
    </row>
    <row r="8">
      <c r="B8" s="4" t="inlineStr">
        <is>
          <t>Pakistan and FIA's Cyber Crime Wing regularly issue advisories about the dominant fraud pattern in the market:</t>
        </is>
      </c>
    </row>
    <row r="9">
      <c r="B9" s="4" t="inlineStr">
        <is>
          <t>not sophisticated hacking, but SOCIAL ENGINEERING - fraudsters posing as bank/telco agents, tricking victims</t>
        </is>
      </c>
    </row>
    <row r="10">
      <c r="B10" s="4" t="inlineStr">
        <is>
          <t>into sharing an OTP or SIM-swapping their number, then draining the wallet through a rushed, first-time transfer</t>
        </is>
      </c>
    </row>
    <row r="11">
      <c r="B11" s="4" t="inlineStr">
        <is>
          <t>to an unfamiliar beneficiary. A fraud-detection system for this market has to be tuned to that specific pattern,</t>
        </is>
      </c>
    </row>
    <row r="12">
      <c r="B12" s="4" t="inlineStr">
        <is>
          <t>not to the card-present fraud patterns most off-the-shelf Western fraud tools are built around.</t>
        </is>
      </c>
    </row>
    <row r="14">
      <c r="B14" s="3" t="inlineStr">
        <is>
          <t>THE MODEL</t>
        </is>
      </c>
    </row>
    <row r="15">
      <c r="B15" s="4" t="inlineStr">
        <is>
          <t>This workbook scores 300 sample transactions using SIX rule-based fraud signals, each grounded in the Pakistani</t>
        </is>
      </c>
    </row>
    <row r="16">
      <c r="B16" s="4" t="inlineStr">
        <is>
          <t>mobile-wallet fraud pattern described above, then combines them into a weighted RISK SCORE:</t>
        </is>
      </c>
    </row>
    <row r="17">
      <c r="B17" s="4" t="inlineStr">
        <is>
          <t xml:space="preserve">  R1: Amount is a statistical outlier vs. the account's own typical transaction size (Z-score &gt; 2.5)</t>
        </is>
      </c>
    </row>
    <row r="18">
      <c r="B18" s="4" t="inlineStr">
        <is>
          <t xml:space="preserve">  R2: High transaction velocity - more than 4 transactions from the account in the same day</t>
        </is>
      </c>
    </row>
    <row r="19">
      <c r="B19" s="4" t="inlineStr">
        <is>
          <t xml:space="preserve">  R3: First-time ('new') beneficiary AND a large transfer amount - the classic social-engineering pattern</t>
        </is>
      </c>
    </row>
    <row r="20">
      <c r="B20" s="4" t="inlineStr">
        <is>
          <t xml:space="preserve">  R4: Unusual hour (11pm-5am) combined with an above-average amount</t>
        </is>
      </c>
    </row>
    <row r="21">
      <c r="B21" s="4" t="inlineStr">
        <is>
          <t xml:space="preserve">  R5: Transaction from a new/changed device shortly after login - possible account takeover</t>
        </is>
      </c>
    </row>
    <row r="22">
      <c r="B22" s="4" t="inlineStr">
        <is>
          <t xml:space="preserve">  R6: 3+ failed login attempts in the prior 24 hours immediately followed by a successful transaction</t>
        </is>
      </c>
    </row>
    <row r="23">
      <c r="B23" s="4" t="inlineStr">
        <is>
          <t>Each rule contributes points to a Risk Score; transactions above a threshold are flagged for manual review.</t>
        </is>
      </c>
    </row>
    <row r="25">
      <c r="B25" s="3" t="inlineStr">
        <is>
          <t>HOW TO USE / WORKBOOK MAP</t>
        </is>
      </c>
    </row>
    <row r="26">
      <c r="B26" s="4" t="inlineStr">
        <is>
          <t>1. 'Transactions' - 300 sample transactions with all raw fields, the six rule flags, and the computed Risk Score,</t>
        </is>
      </c>
    </row>
    <row r="27">
      <c r="B27" s="4" t="inlineStr">
        <is>
          <t xml:space="preserve">   all as live formulas (change a rule's inputs and the score recalculates).</t>
        </is>
      </c>
    </row>
    <row r="28">
      <c r="B28" s="4" t="inlineStr">
        <is>
          <t>2. 'Model Validation' - a decile/gains table exactly as in Project 7 (highest-risk decile should show the highest</t>
        </is>
      </c>
    </row>
    <row r="29">
      <c r="B29" s="4" t="inlineStr">
        <is>
          <t xml:space="preserve">   actual fraud rate), a confusion matrix and precision/recall at a chosen Risk Score cutoff.</t>
        </is>
      </c>
    </row>
    <row r="30">
      <c r="B30" s="4" t="inlineStr">
        <is>
          <t>3. 'Dashboard' - fraud rate by transaction type, rule-trigger frequency, and risk-score distribution.</t>
        </is>
      </c>
    </row>
    <row r="31">
      <c r="B31" s="4" t="inlineStr">
        <is>
          <t>4. 'Insights' - what the model shows and how a live system would use it (step-up authentication, not auto-block).</t>
        </is>
      </c>
    </row>
    <row r="33">
      <c r="B33" s="3" t="inlineStr">
        <is>
          <t>DATA NOTE</t>
        </is>
      </c>
    </row>
    <row r="34">
      <c r="B34" s="4" t="inlineStr">
        <is>
          <t>All 300 transactions and their fraud labels are SYNTHETIC, generated so that the six rules have genuine (but</t>
        </is>
      </c>
    </row>
    <row r="35">
      <c r="B35" s="4" t="inlineStr">
        <is>
          <t>imperfect) predictive power - illustrating the approach, not real user or transaction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3" customWidth="1" min="11" max="11"/>
    <col width="10" customWidth="1" min="12" max="12"/>
    <col width="12" customWidth="1" min="13" max="13"/>
    <col width="12" customWidth="1" min="14" max="14"/>
    <col width="3" customWidth="1" min="15" max="15"/>
    <col width="22" customWidth="1" min="16" max="16"/>
    <col width="30" customWidth="1" min="17" max="17"/>
    <col width="10" customWidth="1" min="18" max="18"/>
    <col width="10" customWidth="1" min="19" max="19"/>
    <col width="14" customWidth="1" min="20" max="20"/>
    <col width="14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5" t="inlineStr">
        <is>
          <t>Transaction ID</t>
        </is>
      </c>
      <c r="B1" s="5" t="inlineStr">
        <is>
          <t>Account ID</t>
        </is>
      </c>
      <c r="C1" s="5" t="inlineStr">
        <is>
          <t>Transaction Type</t>
        </is>
      </c>
      <c r="D1" s="5" t="inlineStr">
        <is>
          <t>Amount (PKR)</t>
        </is>
      </c>
      <c r="E1" s="5" t="inlineStr">
        <is>
          <t>Hour of Day (0-23)</t>
        </is>
      </c>
      <c r="F1" s="5" t="inlineStr">
        <is>
          <t>New Beneficiary? (1/0)</t>
        </is>
      </c>
      <c r="G1" s="5" t="inlineStr">
        <is>
          <t>Txns by Account Today</t>
        </is>
      </c>
      <c r="H1" s="5" t="inlineStr">
        <is>
          <t>Device Changed? (1/0)</t>
        </is>
      </c>
      <c r="I1" s="5" t="inlineStr">
        <is>
          <t>Failed Logins (24h)</t>
        </is>
      </c>
      <c r="J1" s="5" t="inlineStr">
        <is>
          <t>Actual Fraud (simulated)</t>
        </is>
      </c>
      <c r="L1" s="5" t="inlineStr">
        <is>
          <t>Account</t>
        </is>
      </c>
      <c r="M1" s="5" t="inlineStr">
        <is>
          <t>Avg Amount</t>
        </is>
      </c>
      <c r="N1" s="5" t="inlineStr">
        <is>
          <t>Std Amount</t>
        </is>
      </c>
      <c r="P1" s="5" t="inlineStr">
        <is>
          <t>Z-Score (Amount vs Account History)</t>
        </is>
      </c>
      <c r="Q1" s="5" t="inlineStr">
        <is>
          <t>R1: Amount Outlier (Z&gt;2.5)</t>
        </is>
      </c>
      <c r="R1" s="5" t="inlineStr">
        <is>
          <t>R2: High Velocity (&gt;4 txns/day)</t>
        </is>
      </c>
      <c r="S1" s="5" t="inlineStr">
        <is>
          <t>R3: New Beneficiary + Large Amount</t>
        </is>
      </c>
      <c r="T1" s="5" t="inlineStr">
        <is>
          <t>R4: Unusual Hour + Above-Avg Amount</t>
        </is>
      </c>
      <c r="U1" s="5" t="inlineStr">
        <is>
          <t>R5: Device Change</t>
        </is>
      </c>
      <c r="V1" s="5" t="inlineStr">
        <is>
          <t>R6: 3+ Failed Logins</t>
        </is>
      </c>
      <c r="W1" s="5" t="inlineStr">
        <is>
          <t>RISK SCORE</t>
        </is>
      </c>
      <c r="X1" s="5" t="inlineStr">
        <is>
          <t>Flag</t>
        </is>
      </c>
    </row>
    <row r="2">
      <c r="A2" s="6" t="inlineStr">
        <is>
          <t>TXN-00001</t>
        </is>
      </c>
      <c r="B2" s="6" t="inlineStr">
        <is>
          <t>ACC-0040</t>
        </is>
      </c>
      <c r="C2" s="6" t="inlineStr">
        <is>
          <t>P2P Transfer</t>
        </is>
      </c>
      <c r="D2" s="6" t="n">
        <v>5911</v>
      </c>
      <c r="E2" s="6" t="n">
        <v>4</v>
      </c>
      <c r="F2" s="6" t="n">
        <v>0</v>
      </c>
      <c r="G2" s="6" t="n">
        <v>1</v>
      </c>
      <c r="H2" s="6" t="n">
        <v>1</v>
      </c>
      <c r="I2" s="6" t="n">
        <v>0</v>
      </c>
      <c r="J2" s="6" t="n">
        <v>1</v>
      </c>
      <c r="L2" t="inlineStr">
        <is>
          <t>ACC-0001</t>
        </is>
      </c>
      <c r="M2" t="n">
        <v>12735.4</v>
      </c>
      <c r="N2" t="n">
        <v>4441.7</v>
      </c>
      <c r="P2" s="7">
        <f>(D2-VLOOKUP(B2,$L$2:$N$61,2,FALSE))/VLOOKUP(B2,$L$2:$N$61,3,FALSE)</f>
        <v/>
      </c>
      <c r="Q2" s="6">
        <f>IF(P2&gt;2.5,1,0)</f>
        <v/>
      </c>
      <c r="R2" s="6">
        <f>IF(G2&gt;4,1,0)</f>
        <v/>
      </c>
      <c r="S2" s="6">
        <f>IF(AND(F2=1,P2&gt;0.5),1,0)</f>
        <v/>
      </c>
      <c r="T2" s="6">
        <f>IF(AND(OR(E2&gt;=23,E2&lt;=5),P2&gt;0),1,0)</f>
        <v/>
      </c>
      <c r="U2" s="6">
        <f>IF(H2=1,1,0)</f>
        <v/>
      </c>
      <c r="V2" s="6">
        <f>IF(I2&gt;=3,1,0)</f>
        <v/>
      </c>
      <c r="W2" s="6">
        <f>Q2*20+R2*15+S2*30+T2*15+U2*25+V2*20</f>
        <v/>
      </c>
      <c r="X2" s="6">
        <f>IF(W2&gt;=40,"REVIEW","OK")</f>
        <v/>
      </c>
    </row>
    <row r="3">
      <c r="A3" s="6" t="inlineStr">
        <is>
          <t>TXN-00002</t>
        </is>
      </c>
      <c r="B3" s="6" t="inlineStr">
        <is>
          <t>ACC-0049</t>
        </is>
      </c>
      <c r="C3" s="6" t="inlineStr">
        <is>
          <t>P2P Transfer</t>
        </is>
      </c>
      <c r="D3" s="6" t="n">
        <v>1525</v>
      </c>
      <c r="E3" s="6" t="n">
        <v>6</v>
      </c>
      <c r="F3" s="6" t="n">
        <v>0</v>
      </c>
      <c r="G3" s="6" t="n">
        <v>2</v>
      </c>
      <c r="H3" s="6" t="n">
        <v>1</v>
      </c>
      <c r="I3" s="6" t="n">
        <v>0</v>
      </c>
      <c r="J3" s="6" t="n">
        <v>0</v>
      </c>
      <c r="L3" t="inlineStr">
        <is>
          <t>ACC-0002</t>
        </is>
      </c>
      <c r="M3" t="n">
        <v>13253.72</v>
      </c>
      <c r="N3" t="n">
        <v>3934.59</v>
      </c>
      <c r="P3" s="7">
        <f>(D3-VLOOKUP(B3,$L$2:$N$61,2,FALSE))/VLOOKUP(B3,$L$2:$N$61,3,FALSE)</f>
        <v/>
      </c>
      <c r="Q3" s="6">
        <f>IF(P3&gt;2.5,1,0)</f>
        <v/>
      </c>
      <c r="R3" s="6">
        <f>IF(G3&gt;4,1,0)</f>
        <v/>
      </c>
      <c r="S3" s="6">
        <f>IF(AND(F3=1,P3&gt;0.5),1,0)</f>
        <v/>
      </c>
      <c r="T3" s="6">
        <f>IF(AND(OR(E3&gt;=23,E3&lt;=5),P3&gt;0),1,0)</f>
        <v/>
      </c>
      <c r="U3" s="6">
        <f>IF(H3=1,1,0)</f>
        <v/>
      </c>
      <c r="V3" s="6">
        <f>IF(I3&gt;=3,1,0)</f>
        <v/>
      </c>
      <c r="W3" s="6">
        <f>Q3*20+R3*15+S3*30+T3*15+U3*25+V3*20</f>
        <v/>
      </c>
      <c r="X3" s="6">
        <f>IF(W3&gt;=40,"REVIEW","OK")</f>
        <v/>
      </c>
    </row>
    <row r="4">
      <c r="A4" s="6" t="inlineStr">
        <is>
          <t>TXN-00003</t>
        </is>
      </c>
      <c r="B4" s="6" t="inlineStr">
        <is>
          <t>ACC-0058</t>
        </is>
      </c>
      <c r="C4" s="6" t="inlineStr">
        <is>
          <t>Bill Payment</t>
        </is>
      </c>
      <c r="D4" s="6" t="n">
        <v>10519</v>
      </c>
      <c r="E4" s="6" t="n">
        <v>16</v>
      </c>
      <c r="F4" s="6" t="n">
        <v>0</v>
      </c>
      <c r="G4" s="6" t="n">
        <v>2</v>
      </c>
      <c r="H4" s="6" t="n">
        <v>0</v>
      </c>
      <c r="I4" s="6" t="n">
        <v>0</v>
      </c>
      <c r="J4" s="6" t="n">
        <v>0</v>
      </c>
      <c r="L4" t="inlineStr">
        <is>
          <t>ACC-0003</t>
        </is>
      </c>
      <c r="M4" t="n">
        <v>4447.89</v>
      </c>
      <c r="N4" t="n">
        <v>1209.01</v>
      </c>
      <c r="P4" s="7">
        <f>(D4-VLOOKUP(B4,$L$2:$N$61,2,FALSE))/VLOOKUP(B4,$L$2:$N$61,3,FALSE)</f>
        <v/>
      </c>
      <c r="Q4" s="6">
        <f>IF(P4&gt;2.5,1,0)</f>
        <v/>
      </c>
      <c r="R4" s="6">
        <f>IF(G4&gt;4,1,0)</f>
        <v/>
      </c>
      <c r="S4" s="6">
        <f>IF(AND(F4=1,P4&gt;0.5),1,0)</f>
        <v/>
      </c>
      <c r="T4" s="6">
        <f>IF(AND(OR(E4&gt;=23,E4&lt;=5),P4&gt;0),1,0)</f>
        <v/>
      </c>
      <c r="U4" s="6">
        <f>IF(H4=1,1,0)</f>
        <v/>
      </c>
      <c r="V4" s="6">
        <f>IF(I4&gt;=3,1,0)</f>
        <v/>
      </c>
      <c r="W4" s="6">
        <f>Q4*20+R4*15+S4*30+T4*15+U4*25+V4*20</f>
        <v/>
      </c>
      <c r="X4" s="6">
        <f>IF(W4&gt;=40,"REVIEW","OK")</f>
        <v/>
      </c>
    </row>
    <row r="5">
      <c r="A5" s="6" t="inlineStr">
        <is>
          <t>TXN-00004</t>
        </is>
      </c>
      <c r="B5" s="6" t="inlineStr">
        <is>
          <t>ACC-0053</t>
        </is>
      </c>
      <c r="C5" s="6" t="inlineStr">
        <is>
          <t>Cash Withdrawal (Agent)</t>
        </is>
      </c>
      <c r="D5" s="6" t="n">
        <v>5214</v>
      </c>
      <c r="E5" s="6" t="n">
        <v>18</v>
      </c>
      <c r="F5" s="6" t="n">
        <v>0</v>
      </c>
      <c r="G5" s="6" t="n">
        <v>1</v>
      </c>
      <c r="H5" s="6" t="n">
        <v>0</v>
      </c>
      <c r="I5" s="6" t="n">
        <v>0</v>
      </c>
      <c r="J5" s="6" t="n">
        <v>0</v>
      </c>
      <c r="L5" t="inlineStr">
        <is>
          <t>ACC-0004</t>
        </is>
      </c>
      <c r="M5" t="n">
        <v>4606.31</v>
      </c>
      <c r="N5" t="n">
        <v>1436.06</v>
      </c>
      <c r="P5" s="7">
        <f>(D5-VLOOKUP(B5,$L$2:$N$61,2,FALSE))/VLOOKUP(B5,$L$2:$N$61,3,FALSE)</f>
        <v/>
      </c>
      <c r="Q5" s="6">
        <f>IF(P5&gt;2.5,1,0)</f>
        <v/>
      </c>
      <c r="R5" s="6">
        <f>IF(G5&gt;4,1,0)</f>
        <v/>
      </c>
      <c r="S5" s="6">
        <f>IF(AND(F5=1,P5&gt;0.5),1,0)</f>
        <v/>
      </c>
      <c r="T5" s="6">
        <f>IF(AND(OR(E5&gt;=23,E5&lt;=5),P5&gt;0),1,0)</f>
        <v/>
      </c>
      <c r="U5" s="6">
        <f>IF(H5=1,1,0)</f>
        <v/>
      </c>
      <c r="V5" s="6">
        <f>IF(I5&gt;=3,1,0)</f>
        <v/>
      </c>
      <c r="W5" s="6">
        <f>Q5*20+R5*15+S5*30+T5*15+U5*25+V5*20</f>
        <v/>
      </c>
      <c r="X5" s="6">
        <f>IF(W5&gt;=40,"REVIEW","OK")</f>
        <v/>
      </c>
    </row>
    <row r="6">
      <c r="A6" s="6" t="inlineStr">
        <is>
          <t>TXN-00005</t>
        </is>
      </c>
      <c r="B6" s="6" t="inlineStr">
        <is>
          <t>ACC-0004</t>
        </is>
      </c>
      <c r="C6" s="6" t="inlineStr">
        <is>
          <t>Merchant Payment</t>
        </is>
      </c>
      <c r="D6" s="6" t="n">
        <v>3963</v>
      </c>
      <c r="E6" s="6" t="n">
        <v>14</v>
      </c>
      <c r="F6" s="6" t="n">
        <v>0</v>
      </c>
      <c r="G6" s="6" t="n">
        <v>5</v>
      </c>
      <c r="H6" s="6" t="n">
        <v>0</v>
      </c>
      <c r="I6" s="6" t="n">
        <v>0</v>
      </c>
      <c r="J6" s="6" t="n">
        <v>0</v>
      </c>
      <c r="L6" t="inlineStr">
        <is>
          <t>ACC-0005</t>
        </is>
      </c>
      <c r="M6" t="n">
        <v>8152.03</v>
      </c>
      <c r="N6" t="n">
        <v>3255.3</v>
      </c>
      <c r="P6" s="7">
        <f>(D6-VLOOKUP(B6,$L$2:$N$61,2,FALSE))/VLOOKUP(B6,$L$2:$N$61,3,FALSE)</f>
        <v/>
      </c>
      <c r="Q6" s="6">
        <f>IF(P6&gt;2.5,1,0)</f>
        <v/>
      </c>
      <c r="R6" s="6">
        <f>IF(G6&gt;4,1,0)</f>
        <v/>
      </c>
      <c r="S6" s="6">
        <f>IF(AND(F6=1,P6&gt;0.5),1,0)</f>
        <v/>
      </c>
      <c r="T6" s="6">
        <f>IF(AND(OR(E6&gt;=23,E6&lt;=5),P6&gt;0),1,0)</f>
        <v/>
      </c>
      <c r="U6" s="6">
        <f>IF(H6=1,1,0)</f>
        <v/>
      </c>
      <c r="V6" s="6">
        <f>IF(I6&gt;=3,1,0)</f>
        <v/>
      </c>
      <c r="W6" s="6">
        <f>Q6*20+R6*15+S6*30+T6*15+U6*25+V6*20</f>
        <v/>
      </c>
      <c r="X6" s="6">
        <f>IF(W6&gt;=40,"REVIEW","OK")</f>
        <v/>
      </c>
    </row>
    <row r="7">
      <c r="A7" s="6" t="inlineStr">
        <is>
          <t>TXN-00006</t>
        </is>
      </c>
      <c r="B7" s="6" t="inlineStr">
        <is>
          <t>ACC-0039</t>
        </is>
      </c>
      <c r="C7" s="6" t="inlineStr">
        <is>
          <t>Bill Payment</t>
        </is>
      </c>
      <c r="D7" s="6" t="n">
        <v>1380</v>
      </c>
      <c r="E7" s="6" t="n">
        <v>10</v>
      </c>
      <c r="F7" s="6" t="n">
        <v>0</v>
      </c>
      <c r="G7" s="6" t="n">
        <v>2</v>
      </c>
      <c r="H7" s="6" t="n">
        <v>0</v>
      </c>
      <c r="I7" s="6" t="n">
        <v>0</v>
      </c>
      <c r="J7" s="6" t="n">
        <v>0</v>
      </c>
      <c r="L7" t="inlineStr">
        <is>
          <t>ACC-0006</t>
        </is>
      </c>
      <c r="M7" t="n">
        <v>11668.51</v>
      </c>
      <c r="N7" t="n">
        <v>3571.23</v>
      </c>
      <c r="P7" s="7">
        <f>(D7-VLOOKUP(B7,$L$2:$N$61,2,FALSE))/VLOOKUP(B7,$L$2:$N$61,3,FALSE)</f>
        <v/>
      </c>
      <c r="Q7" s="6">
        <f>IF(P7&gt;2.5,1,0)</f>
        <v/>
      </c>
      <c r="R7" s="6">
        <f>IF(G7&gt;4,1,0)</f>
        <v/>
      </c>
      <c r="S7" s="6">
        <f>IF(AND(F7=1,P7&gt;0.5),1,0)</f>
        <v/>
      </c>
      <c r="T7" s="6">
        <f>IF(AND(OR(E7&gt;=23,E7&lt;=5),P7&gt;0),1,0)</f>
        <v/>
      </c>
      <c r="U7" s="6">
        <f>IF(H7=1,1,0)</f>
        <v/>
      </c>
      <c r="V7" s="6">
        <f>IF(I7&gt;=3,1,0)</f>
        <v/>
      </c>
      <c r="W7" s="6">
        <f>Q7*20+R7*15+S7*30+T7*15+U7*25+V7*20</f>
        <v/>
      </c>
      <c r="X7" s="6">
        <f>IF(W7&gt;=40,"REVIEW","OK")</f>
        <v/>
      </c>
    </row>
    <row r="8">
      <c r="A8" s="6" t="inlineStr">
        <is>
          <t>TXN-00007</t>
        </is>
      </c>
      <c r="B8" s="6" t="inlineStr">
        <is>
          <t>ACC-0003</t>
        </is>
      </c>
      <c r="C8" s="6" t="inlineStr">
        <is>
          <t>P2P Transfer</t>
        </is>
      </c>
      <c r="D8" s="6" t="n">
        <v>5134</v>
      </c>
      <c r="E8" s="6" t="n">
        <v>19</v>
      </c>
      <c r="F8" s="6" t="n">
        <v>1</v>
      </c>
      <c r="G8" s="6" t="n">
        <v>1</v>
      </c>
      <c r="H8" s="6" t="n">
        <v>0</v>
      </c>
      <c r="I8" s="6" t="n">
        <v>0</v>
      </c>
      <c r="J8" s="6" t="n">
        <v>0</v>
      </c>
      <c r="L8" t="inlineStr">
        <is>
          <t>ACC-0007</t>
        </is>
      </c>
      <c r="M8" t="n">
        <v>11007.14</v>
      </c>
      <c r="N8" t="n">
        <v>3345.98</v>
      </c>
      <c r="P8" s="7">
        <f>(D8-VLOOKUP(B8,$L$2:$N$61,2,FALSE))/VLOOKUP(B8,$L$2:$N$61,3,FALSE)</f>
        <v/>
      </c>
      <c r="Q8" s="6">
        <f>IF(P8&gt;2.5,1,0)</f>
        <v/>
      </c>
      <c r="R8" s="6">
        <f>IF(G8&gt;4,1,0)</f>
        <v/>
      </c>
      <c r="S8" s="6">
        <f>IF(AND(F8=1,P8&gt;0.5),1,0)</f>
        <v/>
      </c>
      <c r="T8" s="6">
        <f>IF(AND(OR(E8&gt;=23,E8&lt;=5),P8&gt;0),1,0)</f>
        <v/>
      </c>
      <c r="U8" s="6">
        <f>IF(H8=1,1,0)</f>
        <v/>
      </c>
      <c r="V8" s="6">
        <f>IF(I8&gt;=3,1,0)</f>
        <v/>
      </c>
      <c r="W8" s="6">
        <f>Q8*20+R8*15+S8*30+T8*15+U8*25+V8*20</f>
        <v/>
      </c>
      <c r="X8" s="6">
        <f>IF(W8&gt;=40,"REVIEW","OK")</f>
        <v/>
      </c>
    </row>
    <row r="9">
      <c r="A9" s="6" t="inlineStr">
        <is>
          <t>TXN-00008</t>
        </is>
      </c>
      <c r="B9" s="6" t="inlineStr">
        <is>
          <t>ACC-0003</t>
        </is>
      </c>
      <c r="C9" s="6" t="inlineStr">
        <is>
          <t>Merchant Payment</t>
        </is>
      </c>
      <c r="D9" s="6" t="n">
        <v>5420</v>
      </c>
      <c r="E9" s="6" t="n">
        <v>1</v>
      </c>
      <c r="F9" s="6" t="n">
        <v>0</v>
      </c>
      <c r="G9" s="6" t="n">
        <v>1</v>
      </c>
      <c r="H9" s="6" t="n">
        <v>0</v>
      </c>
      <c r="I9" s="6" t="n">
        <v>2</v>
      </c>
      <c r="J9" s="6" t="n">
        <v>0</v>
      </c>
      <c r="L9" t="inlineStr">
        <is>
          <t>ACC-0008</t>
        </is>
      </c>
      <c r="M9" t="n">
        <v>14285.66</v>
      </c>
      <c r="N9" t="n">
        <v>3411.76</v>
      </c>
      <c r="P9" s="7">
        <f>(D9-VLOOKUP(B9,$L$2:$N$61,2,FALSE))/VLOOKUP(B9,$L$2:$N$61,3,FALSE)</f>
        <v/>
      </c>
      <c r="Q9" s="6">
        <f>IF(P9&gt;2.5,1,0)</f>
        <v/>
      </c>
      <c r="R9" s="6">
        <f>IF(G9&gt;4,1,0)</f>
        <v/>
      </c>
      <c r="S9" s="6">
        <f>IF(AND(F9=1,P9&gt;0.5),1,0)</f>
        <v/>
      </c>
      <c r="T9" s="6">
        <f>IF(AND(OR(E9&gt;=23,E9&lt;=5),P9&gt;0),1,0)</f>
        <v/>
      </c>
      <c r="U9" s="6">
        <f>IF(H9=1,1,0)</f>
        <v/>
      </c>
      <c r="V9" s="6">
        <f>IF(I9&gt;=3,1,0)</f>
        <v/>
      </c>
      <c r="W9" s="6">
        <f>Q9*20+R9*15+S9*30+T9*15+U9*25+V9*20</f>
        <v/>
      </c>
      <c r="X9" s="6">
        <f>IF(W9&gt;=40,"REVIEW","OK")</f>
        <v/>
      </c>
    </row>
    <row r="10">
      <c r="A10" s="6" t="inlineStr">
        <is>
          <t>TXN-00009</t>
        </is>
      </c>
      <c r="B10" s="6" t="inlineStr">
        <is>
          <t>ACC-0026</t>
        </is>
      </c>
      <c r="C10" s="6" t="inlineStr">
        <is>
          <t>P2P Transfer</t>
        </is>
      </c>
      <c r="D10" s="6" t="n">
        <v>3448</v>
      </c>
      <c r="E10" s="6" t="n">
        <v>2</v>
      </c>
      <c r="F10" s="6" t="n">
        <v>0</v>
      </c>
      <c r="G10" s="6" t="n">
        <v>1</v>
      </c>
      <c r="H10" s="6" t="n">
        <v>0</v>
      </c>
      <c r="I10" s="6" t="n">
        <v>0</v>
      </c>
      <c r="J10" s="6" t="n">
        <v>0</v>
      </c>
      <c r="L10" t="inlineStr">
        <is>
          <t>ACC-0009</t>
        </is>
      </c>
      <c r="M10" t="n">
        <v>2415.1</v>
      </c>
      <c r="N10" t="n">
        <v>521.26</v>
      </c>
      <c r="P10" s="7">
        <f>(D10-VLOOKUP(B10,$L$2:$N$61,2,FALSE))/VLOOKUP(B10,$L$2:$N$61,3,FALSE)</f>
        <v/>
      </c>
      <c r="Q10" s="6">
        <f>IF(P10&gt;2.5,1,0)</f>
        <v/>
      </c>
      <c r="R10" s="6">
        <f>IF(G10&gt;4,1,0)</f>
        <v/>
      </c>
      <c r="S10" s="6">
        <f>IF(AND(F10=1,P10&gt;0.5),1,0)</f>
        <v/>
      </c>
      <c r="T10" s="6">
        <f>IF(AND(OR(E10&gt;=23,E10&lt;=5),P10&gt;0),1,0)</f>
        <v/>
      </c>
      <c r="U10" s="6">
        <f>IF(H10=1,1,0)</f>
        <v/>
      </c>
      <c r="V10" s="6">
        <f>IF(I10&gt;=3,1,0)</f>
        <v/>
      </c>
      <c r="W10" s="6">
        <f>Q10*20+R10*15+S10*30+T10*15+U10*25+V10*20</f>
        <v/>
      </c>
      <c r="X10" s="6">
        <f>IF(W10&gt;=40,"REVIEW","OK")</f>
        <v/>
      </c>
    </row>
    <row r="11">
      <c r="A11" s="6" t="inlineStr">
        <is>
          <t>TXN-00010</t>
        </is>
      </c>
      <c r="B11" s="6" t="inlineStr">
        <is>
          <t>ACC-0019</t>
        </is>
      </c>
      <c r="C11" s="6" t="inlineStr">
        <is>
          <t>P2P Transfer</t>
        </is>
      </c>
      <c r="D11" s="6" t="n">
        <v>13635</v>
      </c>
      <c r="E11" s="6" t="n">
        <v>23</v>
      </c>
      <c r="F11" s="6" t="n">
        <v>0</v>
      </c>
      <c r="G11" s="6" t="n">
        <v>7</v>
      </c>
      <c r="H11" s="6" t="n">
        <v>0</v>
      </c>
      <c r="I11" s="6" t="n">
        <v>0</v>
      </c>
      <c r="J11" s="6" t="n">
        <v>0</v>
      </c>
      <c r="L11" t="inlineStr">
        <is>
          <t>ACC-0010</t>
        </is>
      </c>
      <c r="M11" t="n">
        <v>8129.79</v>
      </c>
      <c r="N11" t="n">
        <v>2613.52</v>
      </c>
      <c r="P11" s="7">
        <f>(D11-VLOOKUP(B11,$L$2:$N$61,2,FALSE))/VLOOKUP(B11,$L$2:$N$61,3,FALSE)</f>
        <v/>
      </c>
      <c r="Q11" s="6">
        <f>IF(P11&gt;2.5,1,0)</f>
        <v/>
      </c>
      <c r="R11" s="6">
        <f>IF(G11&gt;4,1,0)</f>
        <v/>
      </c>
      <c r="S11" s="6">
        <f>IF(AND(F11=1,P11&gt;0.5),1,0)</f>
        <v/>
      </c>
      <c r="T11" s="6">
        <f>IF(AND(OR(E11&gt;=23,E11&lt;=5),P11&gt;0),1,0)</f>
        <v/>
      </c>
      <c r="U11" s="6">
        <f>IF(H11=1,1,0)</f>
        <v/>
      </c>
      <c r="V11" s="6">
        <f>IF(I11&gt;=3,1,0)</f>
        <v/>
      </c>
      <c r="W11" s="6">
        <f>Q11*20+R11*15+S11*30+T11*15+U11*25+V11*20</f>
        <v/>
      </c>
      <c r="X11" s="6">
        <f>IF(W11&gt;=40,"REVIEW","OK")</f>
        <v/>
      </c>
    </row>
    <row r="12">
      <c r="A12" s="6" t="inlineStr">
        <is>
          <t>TXN-00011</t>
        </is>
      </c>
      <c r="B12" s="6" t="inlineStr">
        <is>
          <t>ACC-0027</t>
        </is>
      </c>
      <c r="C12" s="6" t="inlineStr">
        <is>
          <t>Merchant Payment</t>
        </is>
      </c>
      <c r="D12" s="6" t="n">
        <v>13739</v>
      </c>
      <c r="E12" s="6" t="n">
        <v>1</v>
      </c>
      <c r="F12" s="6" t="n">
        <v>0</v>
      </c>
      <c r="G12" s="6" t="n">
        <v>2</v>
      </c>
      <c r="H12" s="6" t="n">
        <v>0</v>
      </c>
      <c r="I12" s="6" t="n">
        <v>0</v>
      </c>
      <c r="J12" s="6" t="n">
        <v>0</v>
      </c>
      <c r="L12" t="inlineStr">
        <is>
          <t>ACC-0011</t>
        </is>
      </c>
      <c r="M12" t="n">
        <v>6068.3</v>
      </c>
      <c r="N12" t="n">
        <v>1661.17</v>
      </c>
      <c r="P12" s="7">
        <f>(D12-VLOOKUP(B12,$L$2:$N$61,2,FALSE))/VLOOKUP(B12,$L$2:$N$61,3,FALSE)</f>
        <v/>
      </c>
      <c r="Q12" s="6">
        <f>IF(P12&gt;2.5,1,0)</f>
        <v/>
      </c>
      <c r="R12" s="6">
        <f>IF(G12&gt;4,1,0)</f>
        <v/>
      </c>
      <c r="S12" s="6">
        <f>IF(AND(F12=1,P12&gt;0.5),1,0)</f>
        <v/>
      </c>
      <c r="T12" s="6">
        <f>IF(AND(OR(E12&gt;=23,E12&lt;=5),P12&gt;0),1,0)</f>
        <v/>
      </c>
      <c r="U12" s="6">
        <f>IF(H12=1,1,0)</f>
        <v/>
      </c>
      <c r="V12" s="6">
        <f>IF(I12&gt;=3,1,0)</f>
        <v/>
      </c>
      <c r="W12" s="6">
        <f>Q12*20+R12*15+S12*30+T12*15+U12*25+V12*20</f>
        <v/>
      </c>
      <c r="X12" s="6">
        <f>IF(W12&gt;=40,"REVIEW","OK")</f>
        <v/>
      </c>
    </row>
    <row r="13">
      <c r="A13" s="6" t="inlineStr">
        <is>
          <t>TXN-00012</t>
        </is>
      </c>
      <c r="B13" s="6" t="inlineStr">
        <is>
          <t>ACC-0010</t>
        </is>
      </c>
      <c r="C13" s="6" t="inlineStr">
        <is>
          <t>P2P Transfer</t>
        </is>
      </c>
      <c r="D13" s="6" t="n">
        <v>6431</v>
      </c>
      <c r="E13" s="6" t="n">
        <v>22</v>
      </c>
      <c r="F13" s="6" t="n">
        <v>0</v>
      </c>
      <c r="G13" s="6" t="n">
        <v>1</v>
      </c>
      <c r="H13" s="6" t="n">
        <v>0</v>
      </c>
      <c r="I13" s="6" t="n">
        <v>0</v>
      </c>
      <c r="J13" s="6" t="n">
        <v>0</v>
      </c>
      <c r="L13" t="inlineStr">
        <is>
          <t>ACC-0012</t>
        </is>
      </c>
      <c r="M13" t="n">
        <v>9625.879999999999</v>
      </c>
      <c r="N13" t="n">
        <v>2655.97</v>
      </c>
      <c r="P13" s="7">
        <f>(D13-VLOOKUP(B13,$L$2:$N$61,2,FALSE))/VLOOKUP(B13,$L$2:$N$61,3,FALSE)</f>
        <v/>
      </c>
      <c r="Q13" s="6">
        <f>IF(P13&gt;2.5,1,0)</f>
        <v/>
      </c>
      <c r="R13" s="6">
        <f>IF(G13&gt;4,1,0)</f>
        <v/>
      </c>
      <c r="S13" s="6">
        <f>IF(AND(F13=1,P13&gt;0.5),1,0)</f>
        <v/>
      </c>
      <c r="T13" s="6">
        <f>IF(AND(OR(E13&gt;=23,E13&lt;=5),P13&gt;0),1,0)</f>
        <v/>
      </c>
      <c r="U13" s="6">
        <f>IF(H13=1,1,0)</f>
        <v/>
      </c>
      <c r="V13" s="6">
        <f>IF(I13&gt;=3,1,0)</f>
        <v/>
      </c>
      <c r="W13" s="6">
        <f>Q13*20+R13*15+S13*30+T13*15+U13*25+V13*20</f>
        <v/>
      </c>
      <c r="X13" s="6">
        <f>IF(W13&gt;=40,"REVIEW","OK")</f>
        <v/>
      </c>
    </row>
    <row r="14">
      <c r="A14" s="6" t="inlineStr">
        <is>
          <t>TXN-00013</t>
        </is>
      </c>
      <c r="B14" s="6" t="inlineStr">
        <is>
          <t>ACC-0008</t>
        </is>
      </c>
      <c r="C14" s="6" t="inlineStr">
        <is>
          <t>P2P Transfer</t>
        </is>
      </c>
      <c r="D14" s="6" t="n">
        <v>16476</v>
      </c>
      <c r="E14" s="6" t="n">
        <v>20</v>
      </c>
      <c r="F14" s="6" t="n">
        <v>1</v>
      </c>
      <c r="G14" s="6" t="n">
        <v>2</v>
      </c>
      <c r="H14" s="6" t="n">
        <v>0</v>
      </c>
      <c r="I14" s="6" t="n">
        <v>0</v>
      </c>
      <c r="J14" s="6" t="n">
        <v>0</v>
      </c>
      <c r="L14" t="inlineStr">
        <is>
          <t>ACC-0013</t>
        </is>
      </c>
      <c r="M14" t="n">
        <v>2070.86</v>
      </c>
      <c r="N14" t="n">
        <v>662.9</v>
      </c>
      <c r="P14" s="7">
        <f>(D14-VLOOKUP(B14,$L$2:$N$61,2,FALSE))/VLOOKUP(B14,$L$2:$N$61,3,FALSE)</f>
        <v/>
      </c>
      <c r="Q14" s="6">
        <f>IF(P14&gt;2.5,1,0)</f>
        <v/>
      </c>
      <c r="R14" s="6">
        <f>IF(G14&gt;4,1,0)</f>
        <v/>
      </c>
      <c r="S14" s="6">
        <f>IF(AND(F14=1,P14&gt;0.5),1,0)</f>
        <v/>
      </c>
      <c r="T14" s="6">
        <f>IF(AND(OR(E14&gt;=23,E14&lt;=5),P14&gt;0),1,0)</f>
        <v/>
      </c>
      <c r="U14" s="6">
        <f>IF(H14=1,1,0)</f>
        <v/>
      </c>
      <c r="V14" s="6">
        <f>IF(I14&gt;=3,1,0)</f>
        <v/>
      </c>
      <c r="W14" s="6">
        <f>Q14*20+R14*15+S14*30+T14*15+U14*25+V14*20</f>
        <v/>
      </c>
      <c r="X14" s="6">
        <f>IF(W14&gt;=40,"REVIEW","OK")</f>
        <v/>
      </c>
    </row>
    <row r="15">
      <c r="A15" s="6" t="inlineStr">
        <is>
          <t>TXN-00014</t>
        </is>
      </c>
      <c r="B15" s="6" t="inlineStr">
        <is>
          <t>ACC-0058</t>
        </is>
      </c>
      <c r="C15" s="6" t="inlineStr">
        <is>
          <t>Cash Withdrawal (Agent)</t>
        </is>
      </c>
      <c r="D15" s="6" t="n">
        <v>6487</v>
      </c>
      <c r="E15" s="6" t="n">
        <v>17</v>
      </c>
      <c r="F15" s="6" t="n">
        <v>0</v>
      </c>
      <c r="G15" s="6" t="n">
        <v>2</v>
      </c>
      <c r="H15" s="6" t="n">
        <v>0</v>
      </c>
      <c r="I15" s="6" t="n">
        <v>0</v>
      </c>
      <c r="J15" s="6" t="n">
        <v>0</v>
      </c>
      <c r="L15" t="inlineStr">
        <is>
          <t>ACC-0014</t>
        </is>
      </c>
      <c r="M15" t="n">
        <v>6089.97</v>
      </c>
      <c r="N15" t="n">
        <v>1906.29</v>
      </c>
      <c r="P15" s="7">
        <f>(D15-VLOOKUP(B15,$L$2:$N$61,2,FALSE))/VLOOKUP(B15,$L$2:$N$61,3,FALSE)</f>
        <v/>
      </c>
      <c r="Q15" s="6">
        <f>IF(P15&gt;2.5,1,0)</f>
        <v/>
      </c>
      <c r="R15" s="6">
        <f>IF(G15&gt;4,1,0)</f>
        <v/>
      </c>
      <c r="S15" s="6">
        <f>IF(AND(F15=1,P15&gt;0.5),1,0)</f>
        <v/>
      </c>
      <c r="T15" s="6">
        <f>IF(AND(OR(E15&gt;=23,E15&lt;=5),P15&gt;0),1,0)</f>
        <v/>
      </c>
      <c r="U15" s="6">
        <f>IF(H15=1,1,0)</f>
        <v/>
      </c>
      <c r="V15" s="6">
        <f>IF(I15&gt;=3,1,0)</f>
        <v/>
      </c>
      <c r="W15" s="6">
        <f>Q15*20+R15*15+S15*30+T15*15+U15*25+V15*20</f>
        <v/>
      </c>
      <c r="X15" s="6">
        <f>IF(W15&gt;=40,"REVIEW","OK")</f>
        <v/>
      </c>
    </row>
    <row r="16">
      <c r="A16" s="6" t="inlineStr">
        <is>
          <t>TXN-00015</t>
        </is>
      </c>
      <c r="B16" s="6" t="inlineStr">
        <is>
          <t>ACC-0008</t>
        </is>
      </c>
      <c r="C16" s="6" t="inlineStr">
        <is>
          <t>Merchant Payment</t>
        </is>
      </c>
      <c r="D16" s="6" t="n">
        <v>16957</v>
      </c>
      <c r="E16" s="6" t="n">
        <v>13</v>
      </c>
      <c r="F16" s="6" t="n">
        <v>0</v>
      </c>
      <c r="G16" s="6" t="n">
        <v>3</v>
      </c>
      <c r="H16" s="6" t="n">
        <v>0</v>
      </c>
      <c r="I16" s="6" t="n">
        <v>0</v>
      </c>
      <c r="J16" s="6" t="n">
        <v>1</v>
      </c>
      <c r="L16" t="inlineStr">
        <is>
          <t>ACC-0015</t>
        </is>
      </c>
      <c r="M16" t="n">
        <v>2602.95</v>
      </c>
      <c r="N16" t="n">
        <v>525.4</v>
      </c>
      <c r="P16" s="7">
        <f>(D16-VLOOKUP(B16,$L$2:$N$61,2,FALSE))/VLOOKUP(B16,$L$2:$N$61,3,FALSE)</f>
        <v/>
      </c>
      <c r="Q16" s="6">
        <f>IF(P16&gt;2.5,1,0)</f>
        <v/>
      </c>
      <c r="R16" s="6">
        <f>IF(G16&gt;4,1,0)</f>
        <v/>
      </c>
      <c r="S16" s="6">
        <f>IF(AND(F16=1,P16&gt;0.5),1,0)</f>
        <v/>
      </c>
      <c r="T16" s="6">
        <f>IF(AND(OR(E16&gt;=23,E16&lt;=5),P16&gt;0),1,0)</f>
        <v/>
      </c>
      <c r="U16" s="6">
        <f>IF(H16=1,1,0)</f>
        <v/>
      </c>
      <c r="V16" s="6">
        <f>IF(I16&gt;=3,1,0)</f>
        <v/>
      </c>
      <c r="W16" s="6">
        <f>Q16*20+R16*15+S16*30+T16*15+U16*25+V16*20</f>
        <v/>
      </c>
      <c r="X16" s="6">
        <f>IF(W16&gt;=40,"REVIEW","OK")</f>
        <v/>
      </c>
    </row>
    <row r="17">
      <c r="A17" s="6" t="inlineStr">
        <is>
          <t>TXN-00016</t>
        </is>
      </c>
      <c r="B17" s="6" t="inlineStr">
        <is>
          <t>ACC-0037</t>
        </is>
      </c>
      <c r="C17" s="6" t="inlineStr">
        <is>
          <t>Airtime Top-up</t>
        </is>
      </c>
      <c r="D17" s="6" t="n">
        <v>7219</v>
      </c>
      <c r="E17" s="6" t="n">
        <v>19</v>
      </c>
      <c r="F17" s="6" t="n">
        <v>0</v>
      </c>
      <c r="G17" s="6" t="n">
        <v>2</v>
      </c>
      <c r="H17" s="6" t="n">
        <v>0</v>
      </c>
      <c r="I17" s="6" t="n">
        <v>0</v>
      </c>
      <c r="J17" s="6" t="n">
        <v>0</v>
      </c>
      <c r="L17" t="inlineStr">
        <is>
          <t>ACC-0016</t>
        </is>
      </c>
      <c r="M17" t="n">
        <v>14611.73</v>
      </c>
      <c r="N17" t="n">
        <v>5529.34</v>
      </c>
      <c r="P17" s="7">
        <f>(D17-VLOOKUP(B17,$L$2:$N$61,2,FALSE))/VLOOKUP(B17,$L$2:$N$61,3,FALSE)</f>
        <v/>
      </c>
      <c r="Q17" s="6">
        <f>IF(P17&gt;2.5,1,0)</f>
        <v/>
      </c>
      <c r="R17" s="6">
        <f>IF(G17&gt;4,1,0)</f>
        <v/>
      </c>
      <c r="S17" s="6">
        <f>IF(AND(F17=1,P17&gt;0.5),1,0)</f>
        <v/>
      </c>
      <c r="T17" s="6">
        <f>IF(AND(OR(E17&gt;=23,E17&lt;=5),P17&gt;0),1,0)</f>
        <v/>
      </c>
      <c r="U17" s="6">
        <f>IF(H17=1,1,0)</f>
        <v/>
      </c>
      <c r="V17" s="6">
        <f>IF(I17&gt;=3,1,0)</f>
        <v/>
      </c>
      <c r="W17" s="6">
        <f>Q17*20+R17*15+S17*30+T17*15+U17*25+V17*20</f>
        <v/>
      </c>
      <c r="X17" s="6">
        <f>IF(W17&gt;=40,"REVIEW","OK")</f>
        <v/>
      </c>
    </row>
    <row r="18">
      <c r="A18" s="6" t="inlineStr">
        <is>
          <t>TXN-00017</t>
        </is>
      </c>
      <c r="B18" s="6" t="inlineStr">
        <is>
          <t>ACC-0011</t>
        </is>
      </c>
      <c r="C18" s="6" t="inlineStr">
        <is>
          <t>Bill Payment</t>
        </is>
      </c>
      <c r="D18" s="6" t="n">
        <v>7193</v>
      </c>
      <c r="E18" s="6" t="n">
        <v>5</v>
      </c>
      <c r="F18" s="6" t="n">
        <v>0</v>
      </c>
      <c r="G18" s="6" t="n">
        <v>1</v>
      </c>
      <c r="H18" s="6" t="n">
        <v>1</v>
      </c>
      <c r="I18" s="6" t="n">
        <v>0</v>
      </c>
      <c r="J18" s="6" t="n">
        <v>0</v>
      </c>
      <c r="L18" t="inlineStr">
        <is>
          <t>ACC-0017</t>
        </is>
      </c>
      <c r="M18" t="n">
        <v>9448.530000000001</v>
      </c>
      <c r="N18" t="n">
        <v>3242.13</v>
      </c>
      <c r="P18" s="7">
        <f>(D18-VLOOKUP(B18,$L$2:$N$61,2,FALSE))/VLOOKUP(B18,$L$2:$N$61,3,FALSE)</f>
        <v/>
      </c>
      <c r="Q18" s="6">
        <f>IF(P18&gt;2.5,1,0)</f>
        <v/>
      </c>
      <c r="R18" s="6">
        <f>IF(G18&gt;4,1,0)</f>
        <v/>
      </c>
      <c r="S18" s="6">
        <f>IF(AND(F18=1,P18&gt;0.5),1,0)</f>
        <v/>
      </c>
      <c r="T18" s="6">
        <f>IF(AND(OR(E18&gt;=23,E18&lt;=5),P18&gt;0),1,0)</f>
        <v/>
      </c>
      <c r="U18" s="6">
        <f>IF(H18=1,1,0)</f>
        <v/>
      </c>
      <c r="V18" s="6">
        <f>IF(I18&gt;=3,1,0)</f>
        <v/>
      </c>
      <c r="W18" s="6">
        <f>Q18*20+R18*15+S18*30+T18*15+U18*25+V18*20</f>
        <v/>
      </c>
      <c r="X18" s="6">
        <f>IF(W18&gt;=40,"REVIEW","OK")</f>
        <v/>
      </c>
    </row>
    <row r="19">
      <c r="A19" s="6" t="inlineStr">
        <is>
          <t>TXN-00018</t>
        </is>
      </c>
      <c r="B19" s="6" t="inlineStr">
        <is>
          <t>ACC-0011</t>
        </is>
      </c>
      <c r="C19" s="6" t="inlineStr">
        <is>
          <t>Bill Payment</t>
        </is>
      </c>
      <c r="D19" s="6" t="n">
        <v>3257</v>
      </c>
      <c r="E19" s="6" t="n">
        <v>6</v>
      </c>
      <c r="F19" s="6" t="n">
        <v>1</v>
      </c>
      <c r="G19" s="6" t="n">
        <v>2</v>
      </c>
      <c r="H19" s="6" t="n">
        <v>0</v>
      </c>
      <c r="I19" s="6" t="n">
        <v>0</v>
      </c>
      <c r="J19" s="6" t="n">
        <v>0</v>
      </c>
      <c r="L19" t="inlineStr">
        <is>
          <t>ACC-0018</t>
        </is>
      </c>
      <c r="M19" t="n">
        <v>8353.639999999999</v>
      </c>
      <c r="N19" t="n">
        <v>1697.11</v>
      </c>
      <c r="P19" s="7">
        <f>(D19-VLOOKUP(B19,$L$2:$N$61,2,FALSE))/VLOOKUP(B19,$L$2:$N$61,3,FALSE)</f>
        <v/>
      </c>
      <c r="Q19" s="6">
        <f>IF(P19&gt;2.5,1,0)</f>
        <v/>
      </c>
      <c r="R19" s="6">
        <f>IF(G19&gt;4,1,0)</f>
        <v/>
      </c>
      <c r="S19" s="6">
        <f>IF(AND(F19=1,P19&gt;0.5),1,0)</f>
        <v/>
      </c>
      <c r="T19" s="6">
        <f>IF(AND(OR(E19&gt;=23,E19&lt;=5),P19&gt;0),1,0)</f>
        <v/>
      </c>
      <c r="U19" s="6">
        <f>IF(H19=1,1,0)</f>
        <v/>
      </c>
      <c r="V19" s="6">
        <f>IF(I19&gt;=3,1,0)</f>
        <v/>
      </c>
      <c r="W19" s="6">
        <f>Q19*20+R19*15+S19*30+T19*15+U19*25+V19*20</f>
        <v/>
      </c>
      <c r="X19" s="6">
        <f>IF(W19&gt;=40,"REVIEW","OK")</f>
        <v/>
      </c>
    </row>
    <row r="20">
      <c r="A20" s="6" t="inlineStr">
        <is>
          <t>TXN-00019</t>
        </is>
      </c>
      <c r="B20" s="6" t="inlineStr">
        <is>
          <t>ACC-0038</t>
        </is>
      </c>
      <c r="C20" s="6" t="inlineStr">
        <is>
          <t>Merchant Payment</t>
        </is>
      </c>
      <c r="D20" s="6" t="n">
        <v>11764</v>
      </c>
      <c r="E20" s="6" t="n">
        <v>7</v>
      </c>
      <c r="F20" s="6" t="n">
        <v>0</v>
      </c>
      <c r="G20" s="6" t="n">
        <v>2</v>
      </c>
      <c r="H20" s="6" t="n">
        <v>1</v>
      </c>
      <c r="I20" s="6" t="n">
        <v>0</v>
      </c>
      <c r="J20" s="6" t="n">
        <v>0</v>
      </c>
      <c r="L20" t="inlineStr">
        <is>
          <t>ACC-0019</t>
        </is>
      </c>
      <c r="M20" t="n">
        <v>14740.12</v>
      </c>
      <c r="N20" t="n">
        <v>3961.93</v>
      </c>
      <c r="P20" s="7">
        <f>(D20-VLOOKUP(B20,$L$2:$N$61,2,FALSE))/VLOOKUP(B20,$L$2:$N$61,3,FALSE)</f>
        <v/>
      </c>
      <c r="Q20" s="6">
        <f>IF(P20&gt;2.5,1,0)</f>
        <v/>
      </c>
      <c r="R20" s="6">
        <f>IF(G20&gt;4,1,0)</f>
        <v/>
      </c>
      <c r="S20" s="6">
        <f>IF(AND(F20=1,P20&gt;0.5),1,0)</f>
        <v/>
      </c>
      <c r="T20" s="6">
        <f>IF(AND(OR(E20&gt;=23,E20&lt;=5),P20&gt;0),1,0)</f>
        <v/>
      </c>
      <c r="U20" s="6">
        <f>IF(H20=1,1,0)</f>
        <v/>
      </c>
      <c r="V20" s="6">
        <f>IF(I20&gt;=3,1,0)</f>
        <v/>
      </c>
      <c r="W20" s="6">
        <f>Q20*20+R20*15+S20*30+T20*15+U20*25+V20*20</f>
        <v/>
      </c>
      <c r="X20" s="6">
        <f>IF(W20&gt;=40,"REVIEW","OK")</f>
        <v/>
      </c>
    </row>
    <row r="21">
      <c r="A21" s="6" t="inlineStr">
        <is>
          <t>TXN-00020</t>
        </is>
      </c>
      <c r="B21" s="6" t="inlineStr">
        <is>
          <t>ACC-0036</t>
        </is>
      </c>
      <c r="C21" s="6" t="inlineStr">
        <is>
          <t>P2P Transfer</t>
        </is>
      </c>
      <c r="D21" s="6" t="n">
        <v>13013</v>
      </c>
      <c r="E21" s="6" t="n">
        <v>3</v>
      </c>
      <c r="F21" s="6" t="n">
        <v>0</v>
      </c>
      <c r="G21" s="6" t="n">
        <v>6</v>
      </c>
      <c r="H21" s="6" t="n">
        <v>0</v>
      </c>
      <c r="I21" s="6" t="n">
        <v>0</v>
      </c>
      <c r="J21" s="6" t="n">
        <v>0</v>
      </c>
      <c r="L21" t="inlineStr">
        <is>
          <t>ACC-0020</t>
        </is>
      </c>
      <c r="M21" t="n">
        <v>6499.47</v>
      </c>
      <c r="N21" t="n">
        <v>1743.15</v>
      </c>
      <c r="P21" s="7">
        <f>(D21-VLOOKUP(B21,$L$2:$N$61,2,FALSE))/VLOOKUP(B21,$L$2:$N$61,3,FALSE)</f>
        <v/>
      </c>
      <c r="Q21" s="6">
        <f>IF(P21&gt;2.5,1,0)</f>
        <v/>
      </c>
      <c r="R21" s="6">
        <f>IF(G21&gt;4,1,0)</f>
        <v/>
      </c>
      <c r="S21" s="6">
        <f>IF(AND(F21=1,P21&gt;0.5),1,0)</f>
        <v/>
      </c>
      <c r="T21" s="6">
        <f>IF(AND(OR(E21&gt;=23,E21&lt;=5),P21&gt;0),1,0)</f>
        <v/>
      </c>
      <c r="U21" s="6">
        <f>IF(H21=1,1,0)</f>
        <v/>
      </c>
      <c r="V21" s="6">
        <f>IF(I21&gt;=3,1,0)</f>
        <v/>
      </c>
      <c r="W21" s="6">
        <f>Q21*20+R21*15+S21*30+T21*15+U21*25+V21*20</f>
        <v/>
      </c>
      <c r="X21" s="6">
        <f>IF(W21&gt;=40,"REVIEW","OK")</f>
        <v/>
      </c>
    </row>
    <row r="22">
      <c r="A22" s="6" t="inlineStr">
        <is>
          <t>TXN-00021</t>
        </is>
      </c>
      <c r="B22" s="6" t="inlineStr">
        <is>
          <t>ACC-0014</t>
        </is>
      </c>
      <c r="C22" s="6" t="inlineStr">
        <is>
          <t>Cash Withdrawal (Agent)</t>
        </is>
      </c>
      <c r="D22" s="6" t="n">
        <v>6234</v>
      </c>
      <c r="E22" s="6" t="n">
        <v>2</v>
      </c>
      <c r="F22" s="6" t="n">
        <v>0</v>
      </c>
      <c r="G22" s="6" t="n">
        <v>1</v>
      </c>
      <c r="H22" s="6" t="n">
        <v>0</v>
      </c>
      <c r="I22" s="6" t="n">
        <v>0</v>
      </c>
      <c r="J22" s="6" t="n">
        <v>0</v>
      </c>
      <c r="L22" t="inlineStr">
        <is>
          <t>ACC-0021</t>
        </is>
      </c>
      <c r="M22" t="n">
        <v>7326.88</v>
      </c>
      <c r="N22" t="n">
        <v>2545.84</v>
      </c>
      <c r="P22" s="7">
        <f>(D22-VLOOKUP(B22,$L$2:$N$61,2,FALSE))/VLOOKUP(B22,$L$2:$N$61,3,FALSE)</f>
        <v/>
      </c>
      <c r="Q22" s="6">
        <f>IF(P22&gt;2.5,1,0)</f>
        <v/>
      </c>
      <c r="R22" s="6">
        <f>IF(G22&gt;4,1,0)</f>
        <v/>
      </c>
      <c r="S22" s="6">
        <f>IF(AND(F22=1,P22&gt;0.5),1,0)</f>
        <v/>
      </c>
      <c r="T22" s="6">
        <f>IF(AND(OR(E22&gt;=23,E22&lt;=5),P22&gt;0),1,0)</f>
        <v/>
      </c>
      <c r="U22" s="6">
        <f>IF(H22=1,1,0)</f>
        <v/>
      </c>
      <c r="V22" s="6">
        <f>IF(I22&gt;=3,1,0)</f>
        <v/>
      </c>
      <c r="W22" s="6">
        <f>Q22*20+R22*15+S22*30+T22*15+U22*25+V22*20</f>
        <v/>
      </c>
      <c r="X22" s="6">
        <f>IF(W22&gt;=40,"REVIEW","OK")</f>
        <v/>
      </c>
    </row>
    <row r="23">
      <c r="A23" s="6" t="inlineStr">
        <is>
          <t>TXN-00022</t>
        </is>
      </c>
      <c r="B23" s="6" t="inlineStr">
        <is>
          <t>ACC-0009</t>
        </is>
      </c>
      <c r="C23" s="6" t="inlineStr">
        <is>
          <t>Cash Withdrawal (Agent)</t>
        </is>
      </c>
      <c r="D23" s="6" t="n">
        <v>2250</v>
      </c>
      <c r="E23" s="6" t="n">
        <v>14</v>
      </c>
      <c r="F23" s="6" t="n">
        <v>1</v>
      </c>
      <c r="G23" s="6" t="n">
        <v>4</v>
      </c>
      <c r="H23" s="6" t="n">
        <v>0</v>
      </c>
      <c r="I23" s="6" t="n">
        <v>0</v>
      </c>
      <c r="J23" s="6" t="n">
        <v>0</v>
      </c>
      <c r="L23" t="inlineStr">
        <is>
          <t>ACC-0022</t>
        </is>
      </c>
      <c r="M23" t="n">
        <v>8562.15</v>
      </c>
      <c r="N23" t="n">
        <v>2985.82</v>
      </c>
      <c r="P23" s="7">
        <f>(D23-VLOOKUP(B23,$L$2:$N$61,2,FALSE))/VLOOKUP(B23,$L$2:$N$61,3,FALSE)</f>
        <v/>
      </c>
      <c r="Q23" s="6">
        <f>IF(P23&gt;2.5,1,0)</f>
        <v/>
      </c>
      <c r="R23" s="6">
        <f>IF(G23&gt;4,1,0)</f>
        <v/>
      </c>
      <c r="S23" s="6">
        <f>IF(AND(F23=1,P23&gt;0.5),1,0)</f>
        <v/>
      </c>
      <c r="T23" s="6">
        <f>IF(AND(OR(E23&gt;=23,E23&lt;=5),P23&gt;0),1,0)</f>
        <v/>
      </c>
      <c r="U23" s="6">
        <f>IF(H23=1,1,0)</f>
        <v/>
      </c>
      <c r="V23" s="6">
        <f>IF(I23&gt;=3,1,0)</f>
        <v/>
      </c>
      <c r="W23" s="6">
        <f>Q23*20+R23*15+S23*30+T23*15+U23*25+V23*20</f>
        <v/>
      </c>
      <c r="X23" s="6">
        <f>IF(W23&gt;=40,"REVIEW","OK")</f>
        <v/>
      </c>
    </row>
    <row r="24">
      <c r="A24" s="6" t="inlineStr">
        <is>
          <t>TXN-00023</t>
        </is>
      </c>
      <c r="B24" s="6" t="inlineStr">
        <is>
          <t>ACC-0005</t>
        </is>
      </c>
      <c r="C24" s="6" t="inlineStr">
        <is>
          <t>Airtime Top-up</t>
        </is>
      </c>
      <c r="D24" s="6" t="n">
        <v>8223</v>
      </c>
      <c r="E24" s="6" t="n">
        <v>20</v>
      </c>
      <c r="F24" s="6" t="n">
        <v>0</v>
      </c>
      <c r="G24" s="6" t="n">
        <v>2</v>
      </c>
      <c r="H24" s="6" t="n">
        <v>0</v>
      </c>
      <c r="I24" s="6" t="n">
        <v>0</v>
      </c>
      <c r="J24" s="6" t="n">
        <v>1</v>
      </c>
      <c r="L24" t="inlineStr">
        <is>
          <t>ACC-0023</t>
        </is>
      </c>
      <c r="M24" t="n">
        <v>2274.58</v>
      </c>
      <c r="N24" t="n">
        <v>737.96</v>
      </c>
      <c r="P24" s="7">
        <f>(D24-VLOOKUP(B24,$L$2:$N$61,2,FALSE))/VLOOKUP(B24,$L$2:$N$61,3,FALSE)</f>
        <v/>
      </c>
      <c r="Q24" s="6">
        <f>IF(P24&gt;2.5,1,0)</f>
        <v/>
      </c>
      <c r="R24" s="6">
        <f>IF(G24&gt;4,1,0)</f>
        <v/>
      </c>
      <c r="S24" s="6">
        <f>IF(AND(F24=1,P24&gt;0.5),1,0)</f>
        <v/>
      </c>
      <c r="T24" s="6">
        <f>IF(AND(OR(E24&gt;=23,E24&lt;=5),P24&gt;0),1,0)</f>
        <v/>
      </c>
      <c r="U24" s="6">
        <f>IF(H24=1,1,0)</f>
        <v/>
      </c>
      <c r="V24" s="6">
        <f>IF(I24&gt;=3,1,0)</f>
        <v/>
      </c>
      <c r="W24" s="6">
        <f>Q24*20+R24*15+S24*30+T24*15+U24*25+V24*20</f>
        <v/>
      </c>
      <c r="X24" s="6">
        <f>IF(W24&gt;=40,"REVIEW","OK")</f>
        <v/>
      </c>
    </row>
    <row r="25">
      <c r="A25" s="6" t="inlineStr">
        <is>
          <t>TXN-00024</t>
        </is>
      </c>
      <c r="B25" s="6" t="inlineStr">
        <is>
          <t>ACC-0040</t>
        </is>
      </c>
      <c r="C25" s="6" t="inlineStr">
        <is>
          <t>Merchant Payment</t>
        </is>
      </c>
      <c r="D25" s="6" t="n">
        <v>2358</v>
      </c>
      <c r="E25" s="6" t="n">
        <v>11</v>
      </c>
      <c r="F25" s="6" t="n">
        <v>0</v>
      </c>
      <c r="G25" s="6" t="n">
        <v>2</v>
      </c>
      <c r="H25" s="6" t="n">
        <v>0</v>
      </c>
      <c r="I25" s="6" t="n">
        <v>0</v>
      </c>
      <c r="J25" s="6" t="n">
        <v>0</v>
      </c>
      <c r="L25" t="inlineStr">
        <is>
          <t>ACC-0024</t>
        </is>
      </c>
      <c r="M25" t="n">
        <v>1825.8</v>
      </c>
      <c r="N25" t="n">
        <v>518.98</v>
      </c>
      <c r="P25" s="7">
        <f>(D25-VLOOKUP(B25,$L$2:$N$61,2,FALSE))/VLOOKUP(B25,$L$2:$N$61,3,FALSE)</f>
        <v/>
      </c>
      <c r="Q25" s="6">
        <f>IF(P25&gt;2.5,1,0)</f>
        <v/>
      </c>
      <c r="R25" s="6">
        <f>IF(G25&gt;4,1,0)</f>
        <v/>
      </c>
      <c r="S25" s="6">
        <f>IF(AND(F25=1,P25&gt;0.5),1,0)</f>
        <v/>
      </c>
      <c r="T25" s="6">
        <f>IF(AND(OR(E25&gt;=23,E25&lt;=5),P25&gt;0),1,0)</f>
        <v/>
      </c>
      <c r="U25" s="6">
        <f>IF(H25=1,1,0)</f>
        <v/>
      </c>
      <c r="V25" s="6">
        <f>IF(I25&gt;=3,1,0)</f>
        <v/>
      </c>
      <c r="W25" s="6">
        <f>Q25*20+R25*15+S25*30+T25*15+U25*25+V25*20</f>
        <v/>
      </c>
      <c r="X25" s="6">
        <f>IF(W25&gt;=40,"REVIEW","OK")</f>
        <v/>
      </c>
    </row>
    <row r="26">
      <c r="A26" s="6" t="inlineStr">
        <is>
          <t>TXN-00025</t>
        </is>
      </c>
      <c r="B26" s="6" t="inlineStr">
        <is>
          <t>ACC-0043</t>
        </is>
      </c>
      <c r="C26" s="6" t="inlineStr">
        <is>
          <t>P2P Transfer</t>
        </is>
      </c>
      <c r="D26" s="6" t="n">
        <v>14156</v>
      </c>
      <c r="E26" s="6" t="n">
        <v>13</v>
      </c>
      <c r="F26" s="6" t="n">
        <v>1</v>
      </c>
      <c r="G26" s="6" t="n">
        <v>1</v>
      </c>
      <c r="H26" s="6" t="n">
        <v>0</v>
      </c>
      <c r="I26" s="6" t="n">
        <v>0</v>
      </c>
      <c r="J26" s="6" t="n">
        <v>0</v>
      </c>
      <c r="L26" t="inlineStr">
        <is>
          <t>ACC-0025</t>
        </is>
      </c>
      <c r="M26" t="n">
        <v>5646.82</v>
      </c>
      <c r="N26" t="n">
        <v>2127.77</v>
      </c>
      <c r="P26" s="7">
        <f>(D26-VLOOKUP(B26,$L$2:$N$61,2,FALSE))/VLOOKUP(B26,$L$2:$N$61,3,FALSE)</f>
        <v/>
      </c>
      <c r="Q26" s="6">
        <f>IF(P26&gt;2.5,1,0)</f>
        <v/>
      </c>
      <c r="R26" s="6">
        <f>IF(G26&gt;4,1,0)</f>
        <v/>
      </c>
      <c r="S26" s="6">
        <f>IF(AND(F26=1,P26&gt;0.5),1,0)</f>
        <v/>
      </c>
      <c r="T26" s="6">
        <f>IF(AND(OR(E26&gt;=23,E26&lt;=5),P26&gt;0),1,0)</f>
        <v/>
      </c>
      <c r="U26" s="6">
        <f>IF(H26=1,1,0)</f>
        <v/>
      </c>
      <c r="V26" s="6">
        <f>IF(I26&gt;=3,1,0)</f>
        <v/>
      </c>
      <c r="W26" s="6">
        <f>Q26*20+R26*15+S26*30+T26*15+U26*25+V26*20</f>
        <v/>
      </c>
      <c r="X26" s="6">
        <f>IF(W26&gt;=40,"REVIEW","OK")</f>
        <v/>
      </c>
    </row>
    <row r="27">
      <c r="A27" s="6" t="inlineStr">
        <is>
          <t>TXN-00026</t>
        </is>
      </c>
      <c r="B27" s="6" t="inlineStr">
        <is>
          <t>ACC-0005</t>
        </is>
      </c>
      <c r="C27" s="6" t="inlineStr">
        <is>
          <t>Merchant Payment</t>
        </is>
      </c>
      <c r="D27" s="6" t="n">
        <v>11951</v>
      </c>
      <c r="E27" s="6" t="n">
        <v>18</v>
      </c>
      <c r="F27" s="6" t="n">
        <v>0</v>
      </c>
      <c r="G27" s="6" t="n">
        <v>2</v>
      </c>
      <c r="H27" s="6" t="n">
        <v>0</v>
      </c>
      <c r="I27" s="6" t="n">
        <v>0</v>
      </c>
      <c r="J27" s="6" t="n">
        <v>0</v>
      </c>
      <c r="L27" t="inlineStr">
        <is>
          <t>ACC-0026</t>
        </is>
      </c>
      <c r="M27" t="n">
        <v>9440.280000000001</v>
      </c>
      <c r="N27" t="n">
        <v>3050.95</v>
      </c>
      <c r="P27" s="7">
        <f>(D27-VLOOKUP(B27,$L$2:$N$61,2,FALSE))/VLOOKUP(B27,$L$2:$N$61,3,FALSE)</f>
        <v/>
      </c>
      <c r="Q27" s="6">
        <f>IF(P27&gt;2.5,1,0)</f>
        <v/>
      </c>
      <c r="R27" s="6">
        <f>IF(G27&gt;4,1,0)</f>
        <v/>
      </c>
      <c r="S27" s="6">
        <f>IF(AND(F27=1,P27&gt;0.5),1,0)</f>
        <v/>
      </c>
      <c r="T27" s="6">
        <f>IF(AND(OR(E27&gt;=23,E27&lt;=5),P27&gt;0),1,0)</f>
        <v/>
      </c>
      <c r="U27" s="6">
        <f>IF(H27=1,1,0)</f>
        <v/>
      </c>
      <c r="V27" s="6">
        <f>IF(I27&gt;=3,1,0)</f>
        <v/>
      </c>
      <c r="W27" s="6">
        <f>Q27*20+R27*15+S27*30+T27*15+U27*25+V27*20</f>
        <v/>
      </c>
      <c r="X27" s="6">
        <f>IF(W27&gt;=40,"REVIEW","OK")</f>
        <v/>
      </c>
    </row>
    <row r="28">
      <c r="A28" s="6" t="inlineStr">
        <is>
          <t>TXN-00027</t>
        </is>
      </c>
      <c r="B28" s="6" t="inlineStr">
        <is>
          <t>ACC-0021</t>
        </is>
      </c>
      <c r="C28" s="6" t="inlineStr">
        <is>
          <t>P2P Transfer</t>
        </is>
      </c>
      <c r="D28" s="6" t="n">
        <v>10961</v>
      </c>
      <c r="E28" s="6" t="n">
        <v>9</v>
      </c>
      <c r="F28" s="6" t="n">
        <v>0</v>
      </c>
      <c r="G28" s="6" t="n">
        <v>1</v>
      </c>
      <c r="H28" s="6" t="n">
        <v>0</v>
      </c>
      <c r="I28" s="6" t="n">
        <v>0</v>
      </c>
      <c r="J28" s="6" t="n">
        <v>0</v>
      </c>
      <c r="L28" t="inlineStr">
        <is>
          <t>ACC-0027</t>
        </is>
      </c>
      <c r="M28" t="n">
        <v>9364.030000000001</v>
      </c>
      <c r="N28" t="n">
        <v>2209.14</v>
      </c>
      <c r="P28" s="7">
        <f>(D28-VLOOKUP(B28,$L$2:$N$61,2,FALSE))/VLOOKUP(B28,$L$2:$N$61,3,FALSE)</f>
        <v/>
      </c>
      <c r="Q28" s="6">
        <f>IF(P28&gt;2.5,1,0)</f>
        <v/>
      </c>
      <c r="R28" s="6">
        <f>IF(G28&gt;4,1,0)</f>
        <v/>
      </c>
      <c r="S28" s="6">
        <f>IF(AND(F28=1,P28&gt;0.5),1,0)</f>
        <v/>
      </c>
      <c r="T28" s="6">
        <f>IF(AND(OR(E28&gt;=23,E28&lt;=5),P28&gt;0),1,0)</f>
        <v/>
      </c>
      <c r="U28" s="6">
        <f>IF(H28=1,1,0)</f>
        <v/>
      </c>
      <c r="V28" s="6">
        <f>IF(I28&gt;=3,1,0)</f>
        <v/>
      </c>
      <c r="W28" s="6">
        <f>Q28*20+R28*15+S28*30+T28*15+U28*25+V28*20</f>
        <v/>
      </c>
      <c r="X28" s="6">
        <f>IF(W28&gt;=40,"REVIEW","OK")</f>
        <v/>
      </c>
    </row>
    <row r="29">
      <c r="A29" s="6" t="inlineStr">
        <is>
          <t>TXN-00028</t>
        </is>
      </c>
      <c r="B29" s="6" t="inlineStr">
        <is>
          <t>ACC-0031</t>
        </is>
      </c>
      <c r="C29" s="6" t="inlineStr">
        <is>
          <t>P2P Transfer</t>
        </is>
      </c>
      <c r="D29" s="6" t="n">
        <v>3435</v>
      </c>
      <c r="E29" s="6" t="n">
        <v>17</v>
      </c>
      <c r="F29" s="6" t="n">
        <v>0</v>
      </c>
      <c r="G29" s="6" t="n">
        <v>1</v>
      </c>
      <c r="H29" s="6" t="n">
        <v>0</v>
      </c>
      <c r="I29" s="6" t="n">
        <v>0</v>
      </c>
      <c r="J29" s="6" t="n">
        <v>0</v>
      </c>
      <c r="L29" t="inlineStr">
        <is>
          <t>ACC-0028</t>
        </is>
      </c>
      <c r="M29" t="n">
        <v>3888.02</v>
      </c>
      <c r="N29" t="n">
        <v>1316.51</v>
      </c>
      <c r="P29" s="7">
        <f>(D29-VLOOKUP(B29,$L$2:$N$61,2,FALSE))/VLOOKUP(B29,$L$2:$N$61,3,FALSE)</f>
        <v/>
      </c>
      <c r="Q29" s="6">
        <f>IF(P29&gt;2.5,1,0)</f>
        <v/>
      </c>
      <c r="R29" s="6">
        <f>IF(G29&gt;4,1,0)</f>
        <v/>
      </c>
      <c r="S29" s="6">
        <f>IF(AND(F29=1,P29&gt;0.5),1,0)</f>
        <v/>
      </c>
      <c r="T29" s="6">
        <f>IF(AND(OR(E29&gt;=23,E29&lt;=5),P29&gt;0),1,0)</f>
        <v/>
      </c>
      <c r="U29" s="6">
        <f>IF(H29=1,1,0)</f>
        <v/>
      </c>
      <c r="V29" s="6">
        <f>IF(I29&gt;=3,1,0)</f>
        <v/>
      </c>
      <c r="W29" s="6">
        <f>Q29*20+R29*15+S29*30+T29*15+U29*25+V29*20</f>
        <v/>
      </c>
      <c r="X29" s="6">
        <f>IF(W29&gt;=40,"REVIEW","OK")</f>
        <v/>
      </c>
    </row>
    <row r="30">
      <c r="A30" s="6" t="inlineStr">
        <is>
          <t>TXN-00029</t>
        </is>
      </c>
      <c r="B30" s="6" t="inlineStr">
        <is>
          <t>ACC-0048</t>
        </is>
      </c>
      <c r="C30" s="6" t="inlineStr">
        <is>
          <t>P2P Transfer</t>
        </is>
      </c>
      <c r="D30" s="6" t="n">
        <v>12639</v>
      </c>
      <c r="E30" s="6" t="n">
        <v>23</v>
      </c>
      <c r="F30" s="6" t="n">
        <v>0</v>
      </c>
      <c r="G30" s="6" t="n">
        <v>2</v>
      </c>
      <c r="H30" s="6" t="n">
        <v>0</v>
      </c>
      <c r="I30" s="6" t="n">
        <v>0</v>
      </c>
      <c r="J30" s="6" t="n">
        <v>0</v>
      </c>
      <c r="L30" t="inlineStr">
        <is>
          <t>ACC-0029</t>
        </is>
      </c>
      <c r="M30" t="n">
        <v>5694.48</v>
      </c>
      <c r="N30" t="n">
        <v>2072.13</v>
      </c>
      <c r="P30" s="7">
        <f>(D30-VLOOKUP(B30,$L$2:$N$61,2,FALSE))/VLOOKUP(B30,$L$2:$N$61,3,FALSE)</f>
        <v/>
      </c>
      <c r="Q30" s="6">
        <f>IF(P30&gt;2.5,1,0)</f>
        <v/>
      </c>
      <c r="R30" s="6">
        <f>IF(G30&gt;4,1,0)</f>
        <v/>
      </c>
      <c r="S30" s="6">
        <f>IF(AND(F30=1,P30&gt;0.5),1,0)</f>
        <v/>
      </c>
      <c r="T30" s="6">
        <f>IF(AND(OR(E30&gt;=23,E30&lt;=5),P30&gt;0),1,0)</f>
        <v/>
      </c>
      <c r="U30" s="6">
        <f>IF(H30=1,1,0)</f>
        <v/>
      </c>
      <c r="V30" s="6">
        <f>IF(I30&gt;=3,1,0)</f>
        <v/>
      </c>
      <c r="W30" s="6">
        <f>Q30*20+R30*15+S30*30+T30*15+U30*25+V30*20</f>
        <v/>
      </c>
      <c r="X30" s="6">
        <f>IF(W30&gt;=40,"REVIEW","OK")</f>
        <v/>
      </c>
    </row>
    <row r="31">
      <c r="A31" s="6" t="inlineStr">
        <is>
          <t>TXN-00030</t>
        </is>
      </c>
      <c r="B31" s="6" t="inlineStr">
        <is>
          <t>ACC-0030</t>
        </is>
      </c>
      <c r="C31" s="6" t="inlineStr">
        <is>
          <t>P2P Transfer</t>
        </is>
      </c>
      <c r="D31" s="6" t="n">
        <v>5323</v>
      </c>
      <c r="E31" s="6" t="n">
        <v>23</v>
      </c>
      <c r="F31" s="6" t="n">
        <v>0</v>
      </c>
      <c r="G31" s="6" t="n">
        <v>1</v>
      </c>
      <c r="H31" s="6" t="n">
        <v>0</v>
      </c>
      <c r="I31" s="6" t="n">
        <v>0</v>
      </c>
      <c r="J31" s="6" t="n">
        <v>0</v>
      </c>
      <c r="L31" t="inlineStr">
        <is>
          <t>ACC-0030</t>
        </is>
      </c>
      <c r="M31" t="n">
        <v>11898.76</v>
      </c>
      <c r="N31" t="n">
        <v>3709.28</v>
      </c>
      <c r="P31" s="7">
        <f>(D31-VLOOKUP(B31,$L$2:$N$61,2,FALSE))/VLOOKUP(B31,$L$2:$N$61,3,FALSE)</f>
        <v/>
      </c>
      <c r="Q31" s="6">
        <f>IF(P31&gt;2.5,1,0)</f>
        <v/>
      </c>
      <c r="R31" s="6">
        <f>IF(G31&gt;4,1,0)</f>
        <v/>
      </c>
      <c r="S31" s="6">
        <f>IF(AND(F31=1,P31&gt;0.5),1,0)</f>
        <v/>
      </c>
      <c r="T31" s="6">
        <f>IF(AND(OR(E31&gt;=23,E31&lt;=5),P31&gt;0),1,0)</f>
        <v/>
      </c>
      <c r="U31" s="6">
        <f>IF(H31=1,1,0)</f>
        <v/>
      </c>
      <c r="V31" s="6">
        <f>IF(I31&gt;=3,1,0)</f>
        <v/>
      </c>
      <c r="W31" s="6">
        <f>Q31*20+R31*15+S31*30+T31*15+U31*25+V31*20</f>
        <v/>
      </c>
      <c r="X31" s="6">
        <f>IF(W31&gt;=40,"REVIEW","OK")</f>
        <v/>
      </c>
    </row>
    <row r="32">
      <c r="A32" s="6" t="inlineStr">
        <is>
          <t>TXN-00031</t>
        </is>
      </c>
      <c r="B32" s="6" t="inlineStr">
        <is>
          <t>ACC-0019</t>
        </is>
      </c>
      <c r="C32" s="6" t="inlineStr">
        <is>
          <t>P2P Transfer</t>
        </is>
      </c>
      <c r="D32" s="6" t="n">
        <v>18241</v>
      </c>
      <c r="E32" s="6" t="n">
        <v>0</v>
      </c>
      <c r="F32" s="6" t="n">
        <v>1</v>
      </c>
      <c r="G32" s="6" t="n">
        <v>1</v>
      </c>
      <c r="H32" s="6" t="n">
        <v>0</v>
      </c>
      <c r="I32" s="6" t="n">
        <v>0</v>
      </c>
      <c r="J32" s="6" t="n">
        <v>0</v>
      </c>
      <c r="L32" t="inlineStr">
        <is>
          <t>ACC-0031</t>
        </is>
      </c>
      <c r="M32" t="n">
        <v>6011.85</v>
      </c>
      <c r="N32" t="n">
        <v>1672.87</v>
      </c>
      <c r="P32" s="7">
        <f>(D32-VLOOKUP(B32,$L$2:$N$61,2,FALSE))/VLOOKUP(B32,$L$2:$N$61,3,FALSE)</f>
        <v/>
      </c>
      <c r="Q32" s="6">
        <f>IF(P32&gt;2.5,1,0)</f>
        <v/>
      </c>
      <c r="R32" s="6">
        <f>IF(G32&gt;4,1,0)</f>
        <v/>
      </c>
      <c r="S32" s="6">
        <f>IF(AND(F32=1,P32&gt;0.5),1,0)</f>
        <v/>
      </c>
      <c r="T32" s="6">
        <f>IF(AND(OR(E32&gt;=23,E32&lt;=5),P32&gt;0),1,0)</f>
        <v/>
      </c>
      <c r="U32" s="6">
        <f>IF(H32=1,1,0)</f>
        <v/>
      </c>
      <c r="V32" s="6">
        <f>IF(I32&gt;=3,1,0)</f>
        <v/>
      </c>
      <c r="W32" s="6">
        <f>Q32*20+R32*15+S32*30+T32*15+U32*25+V32*20</f>
        <v/>
      </c>
      <c r="X32" s="6">
        <f>IF(W32&gt;=40,"REVIEW","OK")</f>
        <v/>
      </c>
    </row>
    <row r="33">
      <c r="A33" s="6" t="inlineStr">
        <is>
          <t>TXN-00032</t>
        </is>
      </c>
      <c r="B33" s="6" t="inlineStr">
        <is>
          <t>ACC-0053</t>
        </is>
      </c>
      <c r="C33" s="6" t="inlineStr">
        <is>
          <t>Bill Payment</t>
        </is>
      </c>
      <c r="D33" s="6" t="n">
        <v>3697</v>
      </c>
      <c r="E33" s="6" t="n">
        <v>9</v>
      </c>
      <c r="F33" s="6" t="n">
        <v>0</v>
      </c>
      <c r="G33" s="6" t="n">
        <v>1</v>
      </c>
      <c r="H33" s="6" t="n">
        <v>0</v>
      </c>
      <c r="I33" s="6" t="n">
        <v>0</v>
      </c>
      <c r="J33" s="6" t="n">
        <v>0</v>
      </c>
      <c r="L33" t="inlineStr">
        <is>
          <t>ACC-0032</t>
        </is>
      </c>
      <c r="M33" t="n">
        <v>7753.9</v>
      </c>
      <c r="N33" t="n">
        <v>2513.56</v>
      </c>
      <c r="P33" s="7">
        <f>(D33-VLOOKUP(B33,$L$2:$N$61,2,FALSE))/VLOOKUP(B33,$L$2:$N$61,3,FALSE)</f>
        <v/>
      </c>
      <c r="Q33" s="6">
        <f>IF(P33&gt;2.5,1,0)</f>
        <v/>
      </c>
      <c r="R33" s="6">
        <f>IF(G33&gt;4,1,0)</f>
        <v/>
      </c>
      <c r="S33" s="6">
        <f>IF(AND(F33=1,P33&gt;0.5),1,0)</f>
        <v/>
      </c>
      <c r="T33" s="6">
        <f>IF(AND(OR(E33&gt;=23,E33&lt;=5),P33&gt;0),1,0)</f>
        <v/>
      </c>
      <c r="U33" s="6">
        <f>IF(H33=1,1,0)</f>
        <v/>
      </c>
      <c r="V33" s="6">
        <f>IF(I33&gt;=3,1,0)</f>
        <v/>
      </c>
      <c r="W33" s="6">
        <f>Q33*20+R33*15+S33*30+T33*15+U33*25+V33*20</f>
        <v/>
      </c>
      <c r="X33" s="6">
        <f>IF(W33&gt;=40,"REVIEW","OK")</f>
        <v/>
      </c>
    </row>
    <row r="34">
      <c r="A34" s="6" t="inlineStr">
        <is>
          <t>TXN-00033</t>
        </is>
      </c>
      <c r="B34" s="6" t="inlineStr">
        <is>
          <t>ACC-0054</t>
        </is>
      </c>
      <c r="C34" s="6" t="inlineStr">
        <is>
          <t>P2P Transfer</t>
        </is>
      </c>
      <c r="D34" s="6" t="n">
        <v>11405</v>
      </c>
      <c r="E34" s="6" t="n">
        <v>20</v>
      </c>
      <c r="F34" s="6" t="n">
        <v>1</v>
      </c>
      <c r="G34" s="6" t="n">
        <v>2</v>
      </c>
      <c r="H34" s="6" t="n">
        <v>0</v>
      </c>
      <c r="I34" s="6" t="n">
        <v>1</v>
      </c>
      <c r="J34" s="6" t="n">
        <v>0</v>
      </c>
      <c r="L34" t="inlineStr">
        <is>
          <t>ACC-0033</t>
        </is>
      </c>
      <c r="M34" t="n">
        <v>5879.76</v>
      </c>
      <c r="N34" t="n">
        <v>1747.33</v>
      </c>
      <c r="P34" s="7">
        <f>(D34-VLOOKUP(B34,$L$2:$N$61,2,FALSE))/VLOOKUP(B34,$L$2:$N$61,3,FALSE)</f>
        <v/>
      </c>
      <c r="Q34" s="6">
        <f>IF(P34&gt;2.5,1,0)</f>
        <v/>
      </c>
      <c r="R34" s="6">
        <f>IF(G34&gt;4,1,0)</f>
        <v/>
      </c>
      <c r="S34" s="6">
        <f>IF(AND(F34=1,P34&gt;0.5),1,0)</f>
        <v/>
      </c>
      <c r="T34" s="6">
        <f>IF(AND(OR(E34&gt;=23,E34&lt;=5),P34&gt;0),1,0)</f>
        <v/>
      </c>
      <c r="U34" s="6">
        <f>IF(H34=1,1,0)</f>
        <v/>
      </c>
      <c r="V34" s="6">
        <f>IF(I34&gt;=3,1,0)</f>
        <v/>
      </c>
      <c r="W34" s="6">
        <f>Q34*20+R34*15+S34*30+T34*15+U34*25+V34*20</f>
        <v/>
      </c>
      <c r="X34" s="6">
        <f>IF(W34&gt;=40,"REVIEW","OK")</f>
        <v/>
      </c>
    </row>
    <row r="35">
      <c r="A35" s="6" t="inlineStr">
        <is>
          <t>TXN-00034</t>
        </is>
      </c>
      <c r="B35" s="6" t="inlineStr">
        <is>
          <t>ACC-0021</t>
        </is>
      </c>
      <c r="C35" s="6" t="inlineStr">
        <is>
          <t>Merchant Payment</t>
        </is>
      </c>
      <c r="D35" s="6" t="n">
        <v>9323</v>
      </c>
      <c r="E35" s="6" t="n">
        <v>12</v>
      </c>
      <c r="F35" s="6" t="n">
        <v>0</v>
      </c>
      <c r="G35" s="6" t="n">
        <v>1</v>
      </c>
      <c r="H35" s="6" t="n">
        <v>0</v>
      </c>
      <c r="I35" s="6" t="n">
        <v>1</v>
      </c>
      <c r="J35" s="6" t="n">
        <v>0</v>
      </c>
      <c r="L35" t="inlineStr">
        <is>
          <t>ACC-0034</t>
        </is>
      </c>
      <c r="M35" t="n">
        <v>12841.18</v>
      </c>
      <c r="N35" t="n">
        <v>3347.58</v>
      </c>
      <c r="P35" s="7">
        <f>(D35-VLOOKUP(B35,$L$2:$N$61,2,FALSE))/VLOOKUP(B35,$L$2:$N$61,3,FALSE)</f>
        <v/>
      </c>
      <c r="Q35" s="6">
        <f>IF(P35&gt;2.5,1,0)</f>
        <v/>
      </c>
      <c r="R35" s="6">
        <f>IF(G35&gt;4,1,0)</f>
        <v/>
      </c>
      <c r="S35" s="6">
        <f>IF(AND(F35=1,P35&gt;0.5),1,0)</f>
        <v/>
      </c>
      <c r="T35" s="6">
        <f>IF(AND(OR(E35&gt;=23,E35&lt;=5),P35&gt;0),1,0)</f>
        <v/>
      </c>
      <c r="U35" s="6">
        <f>IF(H35=1,1,0)</f>
        <v/>
      </c>
      <c r="V35" s="6">
        <f>IF(I35&gt;=3,1,0)</f>
        <v/>
      </c>
      <c r="W35" s="6">
        <f>Q35*20+R35*15+S35*30+T35*15+U35*25+V35*20</f>
        <v/>
      </c>
      <c r="X35" s="6">
        <f>IF(W35&gt;=40,"REVIEW","OK")</f>
        <v/>
      </c>
    </row>
    <row r="36">
      <c r="A36" s="6" t="inlineStr">
        <is>
          <t>TXN-00035</t>
        </is>
      </c>
      <c r="B36" s="6" t="inlineStr">
        <is>
          <t>ACC-0020</t>
        </is>
      </c>
      <c r="C36" s="6" t="inlineStr">
        <is>
          <t>Cash Withdrawal (Agent)</t>
        </is>
      </c>
      <c r="D36" s="6" t="n">
        <v>7426</v>
      </c>
      <c r="E36" s="6" t="n">
        <v>4</v>
      </c>
      <c r="F36" s="6" t="n">
        <v>0</v>
      </c>
      <c r="G36" s="6" t="n">
        <v>1</v>
      </c>
      <c r="H36" s="6" t="n">
        <v>0</v>
      </c>
      <c r="I36" s="6" t="n">
        <v>0</v>
      </c>
      <c r="J36" s="6" t="n">
        <v>0</v>
      </c>
      <c r="L36" t="inlineStr">
        <is>
          <t>ACC-0035</t>
        </is>
      </c>
      <c r="M36" t="n">
        <v>5735.04</v>
      </c>
      <c r="N36" t="n">
        <v>1951.01</v>
      </c>
      <c r="P36" s="7">
        <f>(D36-VLOOKUP(B36,$L$2:$N$61,2,FALSE))/VLOOKUP(B36,$L$2:$N$61,3,FALSE)</f>
        <v/>
      </c>
      <c r="Q36" s="6">
        <f>IF(P36&gt;2.5,1,0)</f>
        <v/>
      </c>
      <c r="R36" s="6">
        <f>IF(G36&gt;4,1,0)</f>
        <v/>
      </c>
      <c r="S36" s="6">
        <f>IF(AND(F36=1,P36&gt;0.5),1,0)</f>
        <v/>
      </c>
      <c r="T36" s="6">
        <f>IF(AND(OR(E36&gt;=23,E36&lt;=5),P36&gt;0),1,0)</f>
        <v/>
      </c>
      <c r="U36" s="6">
        <f>IF(H36=1,1,0)</f>
        <v/>
      </c>
      <c r="V36" s="6">
        <f>IF(I36&gt;=3,1,0)</f>
        <v/>
      </c>
      <c r="W36" s="6">
        <f>Q36*20+R36*15+S36*30+T36*15+U36*25+V36*20</f>
        <v/>
      </c>
      <c r="X36" s="6">
        <f>IF(W36&gt;=40,"REVIEW","OK")</f>
        <v/>
      </c>
    </row>
    <row r="37">
      <c r="A37" s="6" t="inlineStr">
        <is>
          <t>TXN-00036</t>
        </is>
      </c>
      <c r="B37" s="6" t="inlineStr">
        <is>
          <t>ACC-0031</t>
        </is>
      </c>
      <c r="C37" s="6" t="inlineStr">
        <is>
          <t>Merchant Payment</t>
        </is>
      </c>
      <c r="D37" s="6" t="n">
        <v>5812</v>
      </c>
      <c r="E37" s="6" t="n">
        <v>5</v>
      </c>
      <c r="F37" s="6" t="n">
        <v>0</v>
      </c>
      <c r="G37" s="6" t="n">
        <v>2</v>
      </c>
      <c r="H37" s="6" t="n">
        <v>0</v>
      </c>
      <c r="I37" s="6" t="n">
        <v>0</v>
      </c>
      <c r="J37" s="6" t="n">
        <v>0</v>
      </c>
      <c r="L37" t="inlineStr">
        <is>
          <t>ACC-0036</t>
        </is>
      </c>
      <c r="M37" t="n">
        <v>9524.99</v>
      </c>
      <c r="N37" t="n">
        <v>3316.81</v>
      </c>
      <c r="P37" s="7">
        <f>(D37-VLOOKUP(B37,$L$2:$N$61,2,FALSE))/VLOOKUP(B37,$L$2:$N$61,3,FALSE)</f>
        <v/>
      </c>
      <c r="Q37" s="6">
        <f>IF(P37&gt;2.5,1,0)</f>
        <v/>
      </c>
      <c r="R37" s="6">
        <f>IF(G37&gt;4,1,0)</f>
        <v/>
      </c>
      <c r="S37" s="6">
        <f>IF(AND(F37=1,P37&gt;0.5),1,0)</f>
        <v/>
      </c>
      <c r="T37" s="6">
        <f>IF(AND(OR(E37&gt;=23,E37&lt;=5),P37&gt;0),1,0)</f>
        <v/>
      </c>
      <c r="U37" s="6">
        <f>IF(H37=1,1,0)</f>
        <v/>
      </c>
      <c r="V37" s="6">
        <f>IF(I37&gt;=3,1,0)</f>
        <v/>
      </c>
      <c r="W37" s="6">
        <f>Q37*20+R37*15+S37*30+T37*15+U37*25+V37*20</f>
        <v/>
      </c>
      <c r="X37" s="6">
        <f>IF(W37&gt;=40,"REVIEW","OK")</f>
        <v/>
      </c>
    </row>
    <row r="38">
      <c r="A38" s="6" t="inlineStr">
        <is>
          <t>TXN-00037</t>
        </is>
      </c>
      <c r="B38" s="6" t="inlineStr">
        <is>
          <t>ACC-0008</t>
        </is>
      </c>
      <c r="C38" s="6" t="inlineStr">
        <is>
          <t>Cash Withdrawal (Agent)</t>
        </is>
      </c>
      <c r="D38" s="6" t="n">
        <v>15918</v>
      </c>
      <c r="E38" s="6" t="n">
        <v>17</v>
      </c>
      <c r="F38" s="6" t="n">
        <v>1</v>
      </c>
      <c r="G38" s="6" t="n">
        <v>1</v>
      </c>
      <c r="H38" s="6" t="n">
        <v>0</v>
      </c>
      <c r="I38" s="6" t="n">
        <v>0</v>
      </c>
      <c r="J38" s="6" t="n">
        <v>0</v>
      </c>
      <c r="L38" t="inlineStr">
        <is>
          <t>ACC-0037</t>
        </is>
      </c>
      <c r="M38" t="n">
        <v>5165.24</v>
      </c>
      <c r="N38" t="n">
        <v>1678.05</v>
      </c>
      <c r="P38" s="7">
        <f>(D38-VLOOKUP(B38,$L$2:$N$61,2,FALSE))/VLOOKUP(B38,$L$2:$N$61,3,FALSE)</f>
        <v/>
      </c>
      <c r="Q38" s="6">
        <f>IF(P38&gt;2.5,1,0)</f>
        <v/>
      </c>
      <c r="R38" s="6">
        <f>IF(G38&gt;4,1,0)</f>
        <v/>
      </c>
      <c r="S38" s="6">
        <f>IF(AND(F38=1,P38&gt;0.5),1,0)</f>
        <v/>
      </c>
      <c r="T38" s="6">
        <f>IF(AND(OR(E38&gt;=23,E38&lt;=5),P38&gt;0),1,0)</f>
        <v/>
      </c>
      <c r="U38" s="6">
        <f>IF(H38=1,1,0)</f>
        <v/>
      </c>
      <c r="V38" s="6">
        <f>IF(I38&gt;=3,1,0)</f>
        <v/>
      </c>
      <c r="W38" s="6">
        <f>Q38*20+R38*15+S38*30+T38*15+U38*25+V38*20</f>
        <v/>
      </c>
      <c r="X38" s="6">
        <f>IF(W38&gt;=40,"REVIEW","OK")</f>
        <v/>
      </c>
    </row>
    <row r="39">
      <c r="A39" s="6" t="inlineStr">
        <is>
          <t>TXN-00038</t>
        </is>
      </c>
      <c r="B39" s="6" t="inlineStr">
        <is>
          <t>ACC-0038</t>
        </is>
      </c>
      <c r="C39" s="6" t="inlineStr">
        <is>
          <t>Bill Payment</t>
        </is>
      </c>
      <c r="D39" s="6" t="n">
        <v>12081</v>
      </c>
      <c r="E39" s="6" t="n">
        <v>14</v>
      </c>
      <c r="F39" s="6" t="n">
        <v>0</v>
      </c>
      <c r="G39" s="6" t="n">
        <v>1</v>
      </c>
      <c r="H39" s="6" t="n">
        <v>0</v>
      </c>
      <c r="I39" s="6" t="n">
        <v>0</v>
      </c>
      <c r="J39" s="6" t="n">
        <v>0</v>
      </c>
      <c r="L39" t="inlineStr">
        <is>
          <t>ACC-0038</t>
        </is>
      </c>
      <c r="M39" t="n">
        <v>11959</v>
      </c>
      <c r="N39" t="n">
        <v>4123.19</v>
      </c>
      <c r="P39" s="7">
        <f>(D39-VLOOKUP(B39,$L$2:$N$61,2,FALSE))/VLOOKUP(B39,$L$2:$N$61,3,FALSE)</f>
        <v/>
      </c>
      <c r="Q39" s="6">
        <f>IF(P39&gt;2.5,1,0)</f>
        <v/>
      </c>
      <c r="R39" s="6">
        <f>IF(G39&gt;4,1,0)</f>
        <v/>
      </c>
      <c r="S39" s="6">
        <f>IF(AND(F39=1,P39&gt;0.5),1,0)</f>
        <v/>
      </c>
      <c r="T39" s="6">
        <f>IF(AND(OR(E39&gt;=23,E39&lt;=5),P39&gt;0),1,0)</f>
        <v/>
      </c>
      <c r="U39" s="6">
        <f>IF(H39=1,1,0)</f>
        <v/>
      </c>
      <c r="V39" s="6">
        <f>IF(I39&gt;=3,1,0)</f>
        <v/>
      </c>
      <c r="W39" s="6">
        <f>Q39*20+R39*15+S39*30+T39*15+U39*25+V39*20</f>
        <v/>
      </c>
      <c r="X39" s="6">
        <f>IF(W39&gt;=40,"REVIEW","OK")</f>
        <v/>
      </c>
    </row>
    <row r="40">
      <c r="A40" s="6" t="inlineStr">
        <is>
          <t>TXN-00039</t>
        </is>
      </c>
      <c r="B40" s="6" t="inlineStr">
        <is>
          <t>ACC-0032</t>
        </is>
      </c>
      <c r="C40" s="6" t="inlineStr">
        <is>
          <t>P2P Transfer</t>
        </is>
      </c>
      <c r="D40" s="6" t="n">
        <v>5539</v>
      </c>
      <c r="E40" s="6" t="n">
        <v>9</v>
      </c>
      <c r="F40" s="6" t="n">
        <v>0</v>
      </c>
      <c r="G40" s="6" t="n">
        <v>3</v>
      </c>
      <c r="H40" s="6" t="n">
        <v>0</v>
      </c>
      <c r="I40" s="6" t="n">
        <v>0</v>
      </c>
      <c r="J40" s="6" t="n">
        <v>0</v>
      </c>
      <c r="L40" t="inlineStr">
        <is>
          <t>ACC-0039</t>
        </is>
      </c>
      <c r="M40" t="n">
        <v>9557.379999999999</v>
      </c>
      <c r="N40" t="n">
        <v>2863.58</v>
      </c>
      <c r="P40" s="7">
        <f>(D40-VLOOKUP(B40,$L$2:$N$61,2,FALSE))/VLOOKUP(B40,$L$2:$N$61,3,FALSE)</f>
        <v/>
      </c>
      <c r="Q40" s="6">
        <f>IF(P40&gt;2.5,1,0)</f>
        <v/>
      </c>
      <c r="R40" s="6">
        <f>IF(G40&gt;4,1,0)</f>
        <v/>
      </c>
      <c r="S40" s="6">
        <f>IF(AND(F40=1,P40&gt;0.5),1,0)</f>
        <v/>
      </c>
      <c r="T40" s="6">
        <f>IF(AND(OR(E40&gt;=23,E40&lt;=5),P40&gt;0),1,0)</f>
        <v/>
      </c>
      <c r="U40" s="6">
        <f>IF(H40=1,1,0)</f>
        <v/>
      </c>
      <c r="V40" s="6">
        <f>IF(I40&gt;=3,1,0)</f>
        <v/>
      </c>
      <c r="W40" s="6">
        <f>Q40*20+R40*15+S40*30+T40*15+U40*25+V40*20</f>
        <v/>
      </c>
      <c r="X40" s="6">
        <f>IF(W40&gt;=40,"REVIEW","OK")</f>
        <v/>
      </c>
    </row>
    <row r="41">
      <c r="A41" s="6" t="inlineStr">
        <is>
          <t>TXN-00040</t>
        </is>
      </c>
      <c r="B41" s="6" t="inlineStr">
        <is>
          <t>ACC-0053</t>
        </is>
      </c>
      <c r="C41" s="6" t="inlineStr">
        <is>
          <t>Merchant Payment</t>
        </is>
      </c>
      <c r="D41" s="6" t="n">
        <v>4740</v>
      </c>
      <c r="E41" s="6" t="n">
        <v>10</v>
      </c>
      <c r="F41" s="6" t="n">
        <v>0</v>
      </c>
      <c r="G41" s="6" t="n">
        <v>1</v>
      </c>
      <c r="H41" s="6" t="n">
        <v>0</v>
      </c>
      <c r="I41" s="6" t="n">
        <v>0</v>
      </c>
      <c r="J41" s="6" t="n">
        <v>0</v>
      </c>
      <c r="L41" t="inlineStr">
        <is>
          <t>ACC-0040</t>
        </is>
      </c>
      <c r="M41" t="n">
        <v>2336.76</v>
      </c>
      <c r="N41" t="n">
        <v>915.59</v>
      </c>
      <c r="P41" s="7">
        <f>(D41-VLOOKUP(B41,$L$2:$N$61,2,FALSE))/VLOOKUP(B41,$L$2:$N$61,3,FALSE)</f>
        <v/>
      </c>
      <c r="Q41" s="6">
        <f>IF(P41&gt;2.5,1,0)</f>
        <v/>
      </c>
      <c r="R41" s="6">
        <f>IF(G41&gt;4,1,0)</f>
        <v/>
      </c>
      <c r="S41" s="6">
        <f>IF(AND(F41=1,P41&gt;0.5),1,0)</f>
        <v/>
      </c>
      <c r="T41" s="6">
        <f>IF(AND(OR(E41&gt;=23,E41&lt;=5),P41&gt;0),1,0)</f>
        <v/>
      </c>
      <c r="U41" s="6">
        <f>IF(H41=1,1,0)</f>
        <v/>
      </c>
      <c r="V41" s="6">
        <f>IF(I41&gt;=3,1,0)</f>
        <v/>
      </c>
      <c r="W41" s="6">
        <f>Q41*20+R41*15+S41*30+T41*15+U41*25+V41*20</f>
        <v/>
      </c>
      <c r="X41" s="6">
        <f>IF(W41&gt;=40,"REVIEW","OK")</f>
        <v/>
      </c>
    </row>
    <row r="42">
      <c r="A42" s="6" t="inlineStr">
        <is>
          <t>TXN-00041</t>
        </is>
      </c>
      <c r="B42" s="6" t="inlineStr">
        <is>
          <t>ACC-0049</t>
        </is>
      </c>
      <c r="C42" s="6" t="inlineStr">
        <is>
          <t>P2P Transfer</t>
        </is>
      </c>
      <c r="D42" s="6" t="n">
        <v>1347</v>
      </c>
      <c r="E42" s="6" t="n">
        <v>19</v>
      </c>
      <c r="F42" s="6" t="n">
        <v>1</v>
      </c>
      <c r="G42" s="6" t="n">
        <v>2</v>
      </c>
      <c r="H42" s="6" t="n">
        <v>0</v>
      </c>
      <c r="I42" s="6" t="n">
        <v>2</v>
      </c>
      <c r="J42" s="6" t="n">
        <v>0</v>
      </c>
      <c r="L42" t="inlineStr">
        <is>
          <t>ACC-0041</t>
        </is>
      </c>
      <c r="M42" t="n">
        <v>11400.33</v>
      </c>
      <c r="N42" t="n">
        <v>4028.99</v>
      </c>
      <c r="P42" s="7">
        <f>(D42-VLOOKUP(B42,$L$2:$N$61,2,FALSE))/VLOOKUP(B42,$L$2:$N$61,3,FALSE)</f>
        <v/>
      </c>
      <c r="Q42" s="6">
        <f>IF(P42&gt;2.5,1,0)</f>
        <v/>
      </c>
      <c r="R42" s="6">
        <f>IF(G42&gt;4,1,0)</f>
        <v/>
      </c>
      <c r="S42" s="6">
        <f>IF(AND(F42=1,P42&gt;0.5),1,0)</f>
        <v/>
      </c>
      <c r="T42" s="6">
        <f>IF(AND(OR(E42&gt;=23,E42&lt;=5),P42&gt;0),1,0)</f>
        <v/>
      </c>
      <c r="U42" s="6">
        <f>IF(H42=1,1,0)</f>
        <v/>
      </c>
      <c r="V42" s="6">
        <f>IF(I42&gt;=3,1,0)</f>
        <v/>
      </c>
      <c r="W42" s="6">
        <f>Q42*20+R42*15+S42*30+T42*15+U42*25+V42*20</f>
        <v/>
      </c>
      <c r="X42" s="6">
        <f>IF(W42&gt;=40,"REVIEW","OK")</f>
        <v/>
      </c>
    </row>
    <row r="43">
      <c r="A43" s="6" t="inlineStr">
        <is>
          <t>TXN-00042</t>
        </is>
      </c>
      <c r="B43" s="6" t="inlineStr">
        <is>
          <t>ACC-0045</t>
        </is>
      </c>
      <c r="C43" s="6" t="inlineStr">
        <is>
          <t>Airtime Top-up</t>
        </is>
      </c>
      <c r="D43" s="6" t="n">
        <v>10925</v>
      </c>
      <c r="E43" s="6" t="n">
        <v>1</v>
      </c>
      <c r="F43" s="6" t="n">
        <v>0</v>
      </c>
      <c r="G43" s="6" t="n">
        <v>1</v>
      </c>
      <c r="H43" s="6" t="n">
        <v>0</v>
      </c>
      <c r="I43" s="6" t="n">
        <v>0</v>
      </c>
      <c r="J43" s="6" t="n">
        <v>0</v>
      </c>
      <c r="L43" t="inlineStr">
        <is>
          <t>ACC-0042</t>
        </is>
      </c>
      <c r="M43" t="n">
        <v>13103.06</v>
      </c>
      <c r="N43" t="n">
        <v>4496.17</v>
      </c>
      <c r="P43" s="7">
        <f>(D43-VLOOKUP(B43,$L$2:$N$61,2,FALSE))/VLOOKUP(B43,$L$2:$N$61,3,FALSE)</f>
        <v/>
      </c>
      <c r="Q43" s="6">
        <f>IF(P43&gt;2.5,1,0)</f>
        <v/>
      </c>
      <c r="R43" s="6">
        <f>IF(G43&gt;4,1,0)</f>
        <v/>
      </c>
      <c r="S43" s="6">
        <f>IF(AND(F43=1,P43&gt;0.5),1,0)</f>
        <v/>
      </c>
      <c r="T43" s="6">
        <f>IF(AND(OR(E43&gt;=23,E43&lt;=5),P43&gt;0),1,0)</f>
        <v/>
      </c>
      <c r="U43" s="6">
        <f>IF(H43=1,1,0)</f>
        <v/>
      </c>
      <c r="V43" s="6">
        <f>IF(I43&gt;=3,1,0)</f>
        <v/>
      </c>
      <c r="W43" s="6">
        <f>Q43*20+R43*15+S43*30+T43*15+U43*25+V43*20</f>
        <v/>
      </c>
      <c r="X43" s="6">
        <f>IF(W43&gt;=40,"REVIEW","OK")</f>
        <v/>
      </c>
    </row>
    <row r="44">
      <c r="A44" s="6" t="inlineStr">
        <is>
          <t>TXN-00043</t>
        </is>
      </c>
      <c r="B44" s="6" t="inlineStr">
        <is>
          <t>ACC-0027</t>
        </is>
      </c>
      <c r="C44" s="6" t="inlineStr">
        <is>
          <t>P2P Transfer</t>
        </is>
      </c>
      <c r="D44" s="6" t="n">
        <v>9296</v>
      </c>
      <c r="E44" s="6" t="n">
        <v>4</v>
      </c>
      <c r="F44" s="6" t="n">
        <v>0</v>
      </c>
      <c r="G44" s="6" t="n">
        <v>3</v>
      </c>
      <c r="H44" s="6" t="n">
        <v>0</v>
      </c>
      <c r="I44" s="6" t="n">
        <v>0</v>
      </c>
      <c r="J44" s="6" t="n">
        <v>0</v>
      </c>
      <c r="L44" t="inlineStr">
        <is>
          <t>ACC-0043</t>
        </is>
      </c>
      <c r="M44" t="n">
        <v>11495.51</v>
      </c>
      <c r="N44" t="n">
        <v>3524.73</v>
      </c>
      <c r="P44" s="7">
        <f>(D44-VLOOKUP(B44,$L$2:$N$61,2,FALSE))/VLOOKUP(B44,$L$2:$N$61,3,FALSE)</f>
        <v/>
      </c>
      <c r="Q44" s="6">
        <f>IF(P44&gt;2.5,1,0)</f>
        <v/>
      </c>
      <c r="R44" s="6">
        <f>IF(G44&gt;4,1,0)</f>
        <v/>
      </c>
      <c r="S44" s="6">
        <f>IF(AND(F44=1,P44&gt;0.5),1,0)</f>
        <v/>
      </c>
      <c r="T44" s="6">
        <f>IF(AND(OR(E44&gt;=23,E44&lt;=5),P44&gt;0),1,0)</f>
        <v/>
      </c>
      <c r="U44" s="6">
        <f>IF(H44=1,1,0)</f>
        <v/>
      </c>
      <c r="V44" s="6">
        <f>IF(I44&gt;=3,1,0)</f>
        <v/>
      </c>
      <c r="W44" s="6">
        <f>Q44*20+R44*15+S44*30+T44*15+U44*25+V44*20</f>
        <v/>
      </c>
      <c r="X44" s="6">
        <f>IF(W44&gt;=40,"REVIEW","OK")</f>
        <v/>
      </c>
    </row>
    <row r="45">
      <c r="A45" s="6" t="inlineStr">
        <is>
          <t>TXN-00044</t>
        </is>
      </c>
      <c r="B45" s="6" t="inlineStr">
        <is>
          <t>ACC-0058</t>
        </is>
      </c>
      <c r="C45" s="6" t="inlineStr">
        <is>
          <t>P2P Transfer</t>
        </is>
      </c>
      <c r="D45" s="6" t="n">
        <v>9193</v>
      </c>
      <c r="E45" s="6" t="n">
        <v>0</v>
      </c>
      <c r="F45" s="6" t="n">
        <v>0</v>
      </c>
      <c r="G45" s="6" t="n">
        <v>3</v>
      </c>
      <c r="H45" s="6" t="n">
        <v>0</v>
      </c>
      <c r="I45" s="6" t="n">
        <v>0</v>
      </c>
      <c r="J45" s="6" t="n">
        <v>0</v>
      </c>
      <c r="L45" t="inlineStr">
        <is>
          <t>ACC-0044</t>
        </is>
      </c>
      <c r="M45" t="n">
        <v>3794.7</v>
      </c>
      <c r="N45" t="n">
        <v>1359.36</v>
      </c>
      <c r="P45" s="7">
        <f>(D45-VLOOKUP(B45,$L$2:$N$61,2,FALSE))/VLOOKUP(B45,$L$2:$N$61,3,FALSE)</f>
        <v/>
      </c>
      <c r="Q45" s="6">
        <f>IF(P45&gt;2.5,1,0)</f>
        <v/>
      </c>
      <c r="R45" s="6">
        <f>IF(G45&gt;4,1,0)</f>
        <v/>
      </c>
      <c r="S45" s="6">
        <f>IF(AND(F45=1,P45&gt;0.5),1,0)</f>
        <v/>
      </c>
      <c r="T45" s="6">
        <f>IF(AND(OR(E45&gt;=23,E45&lt;=5),P45&gt;0),1,0)</f>
        <v/>
      </c>
      <c r="U45" s="6">
        <f>IF(H45=1,1,0)</f>
        <v/>
      </c>
      <c r="V45" s="6">
        <f>IF(I45&gt;=3,1,0)</f>
        <v/>
      </c>
      <c r="W45" s="6">
        <f>Q45*20+R45*15+S45*30+T45*15+U45*25+V45*20</f>
        <v/>
      </c>
      <c r="X45" s="6">
        <f>IF(W45&gt;=40,"REVIEW","OK")</f>
        <v/>
      </c>
    </row>
    <row r="46">
      <c r="A46" s="6" t="inlineStr">
        <is>
          <t>TXN-00045</t>
        </is>
      </c>
      <c r="B46" s="6" t="inlineStr">
        <is>
          <t>ACC-0052</t>
        </is>
      </c>
      <c r="C46" s="6" t="inlineStr">
        <is>
          <t>Cash Withdrawal (Agent)</t>
        </is>
      </c>
      <c r="D46" s="6" t="n">
        <v>6221</v>
      </c>
      <c r="E46" s="6" t="n">
        <v>1</v>
      </c>
      <c r="F46" s="6" t="n">
        <v>0</v>
      </c>
      <c r="G46" s="6" t="n">
        <v>2</v>
      </c>
      <c r="H46" s="6" t="n">
        <v>0</v>
      </c>
      <c r="I46" s="6" t="n">
        <v>0</v>
      </c>
      <c r="J46" s="6" t="n">
        <v>0</v>
      </c>
      <c r="L46" t="inlineStr">
        <is>
          <t>ACC-0045</t>
        </is>
      </c>
      <c r="M46" t="n">
        <v>8149.56</v>
      </c>
      <c r="N46" t="n">
        <v>3157.4</v>
      </c>
      <c r="P46" s="7">
        <f>(D46-VLOOKUP(B46,$L$2:$N$61,2,FALSE))/VLOOKUP(B46,$L$2:$N$61,3,FALSE)</f>
        <v/>
      </c>
      <c r="Q46" s="6">
        <f>IF(P46&gt;2.5,1,0)</f>
        <v/>
      </c>
      <c r="R46" s="6">
        <f>IF(G46&gt;4,1,0)</f>
        <v/>
      </c>
      <c r="S46" s="6">
        <f>IF(AND(F46=1,P46&gt;0.5),1,0)</f>
        <v/>
      </c>
      <c r="T46" s="6">
        <f>IF(AND(OR(E46&gt;=23,E46&lt;=5),P46&gt;0),1,0)</f>
        <v/>
      </c>
      <c r="U46" s="6">
        <f>IF(H46=1,1,0)</f>
        <v/>
      </c>
      <c r="V46" s="6">
        <f>IF(I46&gt;=3,1,0)</f>
        <v/>
      </c>
      <c r="W46" s="6">
        <f>Q46*20+R46*15+S46*30+T46*15+U46*25+V46*20</f>
        <v/>
      </c>
      <c r="X46" s="6">
        <f>IF(W46&gt;=40,"REVIEW","OK")</f>
        <v/>
      </c>
    </row>
    <row r="47">
      <c r="A47" s="6" t="inlineStr">
        <is>
          <t>TXN-00046</t>
        </is>
      </c>
      <c r="B47" s="6" t="inlineStr">
        <is>
          <t>ACC-0038</t>
        </is>
      </c>
      <c r="C47" s="6" t="inlineStr">
        <is>
          <t>P2P Transfer</t>
        </is>
      </c>
      <c r="D47" s="6" t="n">
        <v>21780</v>
      </c>
      <c r="E47" s="6" t="n">
        <v>11</v>
      </c>
      <c r="F47" s="6" t="n">
        <v>0</v>
      </c>
      <c r="G47" s="6" t="n">
        <v>1</v>
      </c>
      <c r="H47" s="6" t="n">
        <v>0</v>
      </c>
      <c r="I47" s="6" t="n">
        <v>0</v>
      </c>
      <c r="J47" s="6" t="n">
        <v>0</v>
      </c>
      <c r="L47" t="inlineStr">
        <is>
          <t>ACC-0046</t>
        </is>
      </c>
      <c r="M47" t="n">
        <v>14704.39</v>
      </c>
      <c r="N47" t="n">
        <v>3291.74</v>
      </c>
      <c r="P47" s="7">
        <f>(D47-VLOOKUP(B47,$L$2:$N$61,2,FALSE))/VLOOKUP(B47,$L$2:$N$61,3,FALSE)</f>
        <v/>
      </c>
      <c r="Q47" s="6">
        <f>IF(P47&gt;2.5,1,0)</f>
        <v/>
      </c>
      <c r="R47" s="6">
        <f>IF(G47&gt;4,1,0)</f>
        <v/>
      </c>
      <c r="S47" s="6">
        <f>IF(AND(F47=1,P47&gt;0.5),1,0)</f>
        <v/>
      </c>
      <c r="T47" s="6">
        <f>IF(AND(OR(E47&gt;=23,E47&lt;=5),P47&gt;0),1,0)</f>
        <v/>
      </c>
      <c r="U47" s="6">
        <f>IF(H47=1,1,0)</f>
        <v/>
      </c>
      <c r="V47" s="6">
        <f>IF(I47&gt;=3,1,0)</f>
        <v/>
      </c>
      <c r="W47" s="6">
        <f>Q47*20+R47*15+S47*30+T47*15+U47*25+V47*20</f>
        <v/>
      </c>
      <c r="X47" s="6">
        <f>IF(W47&gt;=40,"REVIEW","OK")</f>
        <v/>
      </c>
    </row>
    <row r="48">
      <c r="A48" s="6" t="inlineStr">
        <is>
          <t>TXN-00047</t>
        </is>
      </c>
      <c r="B48" s="6" t="inlineStr">
        <is>
          <t>ACC-0026</t>
        </is>
      </c>
      <c r="C48" s="6" t="inlineStr">
        <is>
          <t>Bill Payment</t>
        </is>
      </c>
      <c r="D48" s="6" t="n">
        <v>6956</v>
      </c>
      <c r="E48" s="6" t="n">
        <v>8</v>
      </c>
      <c r="F48" s="6" t="n">
        <v>0</v>
      </c>
      <c r="G48" s="6" t="n">
        <v>2</v>
      </c>
      <c r="H48" s="6" t="n">
        <v>0</v>
      </c>
      <c r="I48" s="6" t="n">
        <v>0</v>
      </c>
      <c r="J48" s="6" t="n">
        <v>0</v>
      </c>
      <c r="L48" t="inlineStr">
        <is>
          <t>ACC-0047</t>
        </is>
      </c>
      <c r="M48" t="n">
        <v>12778.06</v>
      </c>
      <c r="N48" t="n">
        <v>4869.62</v>
      </c>
      <c r="P48" s="7">
        <f>(D48-VLOOKUP(B48,$L$2:$N$61,2,FALSE))/VLOOKUP(B48,$L$2:$N$61,3,FALSE)</f>
        <v/>
      </c>
      <c r="Q48" s="6">
        <f>IF(P48&gt;2.5,1,0)</f>
        <v/>
      </c>
      <c r="R48" s="6">
        <f>IF(G48&gt;4,1,0)</f>
        <v/>
      </c>
      <c r="S48" s="6">
        <f>IF(AND(F48=1,P48&gt;0.5),1,0)</f>
        <v/>
      </c>
      <c r="T48" s="6">
        <f>IF(AND(OR(E48&gt;=23,E48&lt;=5),P48&gt;0),1,0)</f>
        <v/>
      </c>
      <c r="U48" s="6">
        <f>IF(H48=1,1,0)</f>
        <v/>
      </c>
      <c r="V48" s="6">
        <f>IF(I48&gt;=3,1,0)</f>
        <v/>
      </c>
      <c r="W48" s="6">
        <f>Q48*20+R48*15+S48*30+T48*15+U48*25+V48*20</f>
        <v/>
      </c>
      <c r="X48" s="6">
        <f>IF(W48&gt;=40,"REVIEW","OK")</f>
        <v/>
      </c>
    </row>
    <row r="49">
      <c r="A49" s="6" t="inlineStr">
        <is>
          <t>TXN-00048</t>
        </is>
      </c>
      <c r="B49" s="6" t="inlineStr">
        <is>
          <t>ACC-0025</t>
        </is>
      </c>
      <c r="C49" s="6" t="inlineStr">
        <is>
          <t>Airtime Top-up</t>
        </is>
      </c>
      <c r="D49" s="6" t="n">
        <v>7033</v>
      </c>
      <c r="E49" s="6" t="n">
        <v>15</v>
      </c>
      <c r="F49" s="6" t="n">
        <v>0</v>
      </c>
      <c r="G49" s="6" t="n">
        <v>7</v>
      </c>
      <c r="H49" s="6" t="n">
        <v>0</v>
      </c>
      <c r="I49" s="6" t="n">
        <v>0</v>
      </c>
      <c r="J49" s="6" t="n">
        <v>0</v>
      </c>
      <c r="L49" t="inlineStr">
        <is>
          <t>ACC-0048</t>
        </is>
      </c>
      <c r="M49" t="n">
        <v>12573.19</v>
      </c>
      <c r="N49" t="n">
        <v>3177.31</v>
      </c>
      <c r="P49" s="7">
        <f>(D49-VLOOKUP(B49,$L$2:$N$61,2,FALSE))/VLOOKUP(B49,$L$2:$N$61,3,FALSE)</f>
        <v/>
      </c>
      <c r="Q49" s="6">
        <f>IF(P49&gt;2.5,1,0)</f>
        <v/>
      </c>
      <c r="R49" s="6">
        <f>IF(G49&gt;4,1,0)</f>
        <v/>
      </c>
      <c r="S49" s="6">
        <f>IF(AND(F49=1,P49&gt;0.5),1,0)</f>
        <v/>
      </c>
      <c r="T49" s="6">
        <f>IF(AND(OR(E49&gt;=23,E49&lt;=5),P49&gt;0),1,0)</f>
        <v/>
      </c>
      <c r="U49" s="6">
        <f>IF(H49=1,1,0)</f>
        <v/>
      </c>
      <c r="V49" s="6">
        <f>IF(I49&gt;=3,1,0)</f>
        <v/>
      </c>
      <c r="W49" s="6">
        <f>Q49*20+R49*15+S49*30+T49*15+U49*25+V49*20</f>
        <v/>
      </c>
      <c r="X49" s="6">
        <f>IF(W49&gt;=40,"REVIEW","OK")</f>
        <v/>
      </c>
    </row>
    <row r="50">
      <c r="A50" s="6" t="inlineStr">
        <is>
          <t>TXN-00049</t>
        </is>
      </c>
      <c r="B50" s="6" t="inlineStr">
        <is>
          <t>ACC-0046</t>
        </is>
      </c>
      <c r="C50" s="6" t="inlineStr">
        <is>
          <t>P2P Transfer</t>
        </is>
      </c>
      <c r="D50" s="6" t="n">
        <v>15123</v>
      </c>
      <c r="E50" s="6" t="n">
        <v>22</v>
      </c>
      <c r="F50" s="6" t="n">
        <v>1</v>
      </c>
      <c r="G50" s="6" t="n">
        <v>2</v>
      </c>
      <c r="H50" s="6" t="n">
        <v>0</v>
      </c>
      <c r="I50" s="6" t="n">
        <v>0</v>
      </c>
      <c r="J50" s="6" t="n">
        <v>0</v>
      </c>
      <c r="L50" t="inlineStr">
        <is>
          <t>ACC-0049</t>
        </is>
      </c>
      <c r="M50" t="n">
        <v>2143.07</v>
      </c>
      <c r="N50" t="n">
        <v>503.82</v>
      </c>
      <c r="P50" s="7">
        <f>(D50-VLOOKUP(B50,$L$2:$N$61,2,FALSE))/VLOOKUP(B50,$L$2:$N$61,3,FALSE)</f>
        <v/>
      </c>
      <c r="Q50" s="6">
        <f>IF(P50&gt;2.5,1,0)</f>
        <v/>
      </c>
      <c r="R50" s="6">
        <f>IF(G50&gt;4,1,0)</f>
        <v/>
      </c>
      <c r="S50" s="6">
        <f>IF(AND(F50=1,P50&gt;0.5),1,0)</f>
        <v/>
      </c>
      <c r="T50" s="6">
        <f>IF(AND(OR(E50&gt;=23,E50&lt;=5),P50&gt;0),1,0)</f>
        <v/>
      </c>
      <c r="U50" s="6">
        <f>IF(H50=1,1,0)</f>
        <v/>
      </c>
      <c r="V50" s="6">
        <f>IF(I50&gt;=3,1,0)</f>
        <v/>
      </c>
      <c r="W50" s="6">
        <f>Q50*20+R50*15+S50*30+T50*15+U50*25+V50*20</f>
        <v/>
      </c>
      <c r="X50" s="6">
        <f>IF(W50&gt;=40,"REVIEW","OK")</f>
        <v/>
      </c>
    </row>
    <row r="51">
      <c r="A51" s="6" t="inlineStr">
        <is>
          <t>TXN-00050</t>
        </is>
      </c>
      <c r="B51" s="6" t="inlineStr">
        <is>
          <t>ACC-0013</t>
        </is>
      </c>
      <c r="C51" s="6" t="inlineStr">
        <is>
          <t>P2P Transfer</t>
        </is>
      </c>
      <c r="D51" s="6" t="n">
        <v>4966</v>
      </c>
      <c r="E51" s="6" t="n">
        <v>22</v>
      </c>
      <c r="F51" s="6" t="n">
        <v>0</v>
      </c>
      <c r="G51" s="6" t="n">
        <v>2</v>
      </c>
      <c r="H51" s="6" t="n">
        <v>0</v>
      </c>
      <c r="I51" s="6" t="n">
        <v>0</v>
      </c>
      <c r="J51" s="6" t="n">
        <v>1</v>
      </c>
      <c r="L51" t="inlineStr">
        <is>
          <t>ACC-0050</t>
        </is>
      </c>
      <c r="M51" t="n">
        <v>3354.06</v>
      </c>
      <c r="N51" t="n">
        <v>1221.08</v>
      </c>
      <c r="P51" s="7">
        <f>(D51-VLOOKUP(B51,$L$2:$N$61,2,FALSE))/VLOOKUP(B51,$L$2:$N$61,3,FALSE)</f>
        <v/>
      </c>
      <c r="Q51" s="6">
        <f>IF(P51&gt;2.5,1,0)</f>
        <v/>
      </c>
      <c r="R51" s="6">
        <f>IF(G51&gt;4,1,0)</f>
        <v/>
      </c>
      <c r="S51" s="6">
        <f>IF(AND(F51=1,P51&gt;0.5),1,0)</f>
        <v/>
      </c>
      <c r="T51" s="6">
        <f>IF(AND(OR(E51&gt;=23,E51&lt;=5),P51&gt;0),1,0)</f>
        <v/>
      </c>
      <c r="U51" s="6">
        <f>IF(H51=1,1,0)</f>
        <v/>
      </c>
      <c r="V51" s="6">
        <f>IF(I51&gt;=3,1,0)</f>
        <v/>
      </c>
      <c r="W51" s="6">
        <f>Q51*20+R51*15+S51*30+T51*15+U51*25+V51*20</f>
        <v/>
      </c>
      <c r="X51" s="6">
        <f>IF(W51&gt;=40,"REVIEW","OK")</f>
        <v/>
      </c>
    </row>
    <row r="52">
      <c r="A52" s="6" t="inlineStr">
        <is>
          <t>TXN-00051</t>
        </is>
      </c>
      <c r="B52" s="6" t="inlineStr">
        <is>
          <t>ACC-0042</t>
        </is>
      </c>
      <c r="C52" s="6" t="inlineStr">
        <is>
          <t>Airtime Top-up</t>
        </is>
      </c>
      <c r="D52" s="6" t="n">
        <v>14116</v>
      </c>
      <c r="E52" s="6" t="n">
        <v>17</v>
      </c>
      <c r="F52" s="6" t="n">
        <v>0</v>
      </c>
      <c r="G52" s="6" t="n">
        <v>1</v>
      </c>
      <c r="H52" s="6" t="n">
        <v>0</v>
      </c>
      <c r="I52" s="6" t="n">
        <v>0</v>
      </c>
      <c r="J52" s="6" t="n">
        <v>0</v>
      </c>
      <c r="L52" t="inlineStr">
        <is>
          <t>ACC-0051</t>
        </is>
      </c>
      <c r="M52" t="n">
        <v>10418.19</v>
      </c>
      <c r="N52" t="n">
        <v>2312.52</v>
      </c>
      <c r="P52" s="7">
        <f>(D52-VLOOKUP(B52,$L$2:$N$61,2,FALSE))/VLOOKUP(B52,$L$2:$N$61,3,FALSE)</f>
        <v/>
      </c>
      <c r="Q52" s="6">
        <f>IF(P52&gt;2.5,1,0)</f>
        <v/>
      </c>
      <c r="R52" s="6">
        <f>IF(G52&gt;4,1,0)</f>
        <v/>
      </c>
      <c r="S52" s="6">
        <f>IF(AND(F52=1,P52&gt;0.5),1,0)</f>
        <v/>
      </c>
      <c r="T52" s="6">
        <f>IF(AND(OR(E52&gt;=23,E52&lt;=5),P52&gt;0),1,0)</f>
        <v/>
      </c>
      <c r="U52" s="6">
        <f>IF(H52=1,1,0)</f>
        <v/>
      </c>
      <c r="V52" s="6">
        <f>IF(I52&gt;=3,1,0)</f>
        <v/>
      </c>
      <c r="W52" s="6">
        <f>Q52*20+R52*15+S52*30+T52*15+U52*25+V52*20</f>
        <v/>
      </c>
      <c r="X52" s="6">
        <f>IF(W52&gt;=40,"REVIEW","OK")</f>
        <v/>
      </c>
    </row>
    <row r="53">
      <c r="A53" s="6" t="inlineStr">
        <is>
          <t>TXN-00052</t>
        </is>
      </c>
      <c r="B53" s="6" t="inlineStr">
        <is>
          <t>ACC-0016</t>
        </is>
      </c>
      <c r="C53" s="6" t="inlineStr">
        <is>
          <t>Cash Withdrawal (Agent)</t>
        </is>
      </c>
      <c r="D53" s="6" t="n">
        <v>17858</v>
      </c>
      <c r="E53" s="6" t="n">
        <v>11</v>
      </c>
      <c r="F53" s="6" t="n">
        <v>0</v>
      </c>
      <c r="G53" s="6" t="n">
        <v>3</v>
      </c>
      <c r="H53" s="6" t="n">
        <v>0</v>
      </c>
      <c r="I53" s="6" t="n">
        <v>0</v>
      </c>
      <c r="J53" s="6" t="n">
        <v>0</v>
      </c>
      <c r="L53" t="inlineStr">
        <is>
          <t>ACC-0052</t>
        </is>
      </c>
      <c r="M53" t="n">
        <v>5333.75</v>
      </c>
      <c r="N53" t="n">
        <v>1370.32</v>
      </c>
      <c r="P53" s="7">
        <f>(D53-VLOOKUP(B53,$L$2:$N$61,2,FALSE))/VLOOKUP(B53,$L$2:$N$61,3,FALSE)</f>
        <v/>
      </c>
      <c r="Q53" s="6">
        <f>IF(P53&gt;2.5,1,0)</f>
        <v/>
      </c>
      <c r="R53" s="6">
        <f>IF(G53&gt;4,1,0)</f>
        <v/>
      </c>
      <c r="S53" s="6">
        <f>IF(AND(F53=1,P53&gt;0.5),1,0)</f>
        <v/>
      </c>
      <c r="T53" s="6">
        <f>IF(AND(OR(E53&gt;=23,E53&lt;=5),P53&gt;0),1,0)</f>
        <v/>
      </c>
      <c r="U53" s="6">
        <f>IF(H53=1,1,0)</f>
        <v/>
      </c>
      <c r="V53" s="6">
        <f>IF(I53&gt;=3,1,0)</f>
        <v/>
      </c>
      <c r="W53" s="6">
        <f>Q53*20+R53*15+S53*30+T53*15+U53*25+V53*20</f>
        <v/>
      </c>
      <c r="X53" s="6">
        <f>IF(W53&gt;=40,"REVIEW","OK")</f>
        <v/>
      </c>
    </row>
    <row r="54">
      <c r="A54" s="6" t="inlineStr">
        <is>
          <t>TXN-00053</t>
        </is>
      </c>
      <c r="B54" s="6" t="inlineStr">
        <is>
          <t>ACC-0010</t>
        </is>
      </c>
      <c r="C54" s="6" t="inlineStr">
        <is>
          <t>Bill Payment</t>
        </is>
      </c>
      <c r="D54" s="6" t="n">
        <v>4657</v>
      </c>
      <c r="E54" s="6" t="n">
        <v>8</v>
      </c>
      <c r="F54" s="6" t="n">
        <v>0</v>
      </c>
      <c r="G54" s="6" t="n">
        <v>5</v>
      </c>
      <c r="H54" s="6" t="n">
        <v>1</v>
      </c>
      <c r="I54" s="6" t="n">
        <v>0</v>
      </c>
      <c r="J54" s="6" t="n">
        <v>0</v>
      </c>
      <c r="L54" t="inlineStr">
        <is>
          <t>ACC-0053</t>
        </is>
      </c>
      <c r="M54" t="n">
        <v>4003.17</v>
      </c>
      <c r="N54" t="n">
        <v>827.59</v>
      </c>
      <c r="P54" s="7">
        <f>(D54-VLOOKUP(B54,$L$2:$N$61,2,FALSE))/VLOOKUP(B54,$L$2:$N$61,3,FALSE)</f>
        <v/>
      </c>
      <c r="Q54" s="6">
        <f>IF(P54&gt;2.5,1,0)</f>
        <v/>
      </c>
      <c r="R54" s="6">
        <f>IF(G54&gt;4,1,0)</f>
        <v/>
      </c>
      <c r="S54" s="6">
        <f>IF(AND(F54=1,P54&gt;0.5),1,0)</f>
        <v/>
      </c>
      <c r="T54" s="6">
        <f>IF(AND(OR(E54&gt;=23,E54&lt;=5),P54&gt;0),1,0)</f>
        <v/>
      </c>
      <c r="U54" s="6">
        <f>IF(H54=1,1,0)</f>
        <v/>
      </c>
      <c r="V54" s="6">
        <f>IF(I54&gt;=3,1,0)</f>
        <v/>
      </c>
      <c r="W54" s="6">
        <f>Q54*20+R54*15+S54*30+T54*15+U54*25+V54*20</f>
        <v/>
      </c>
      <c r="X54" s="6">
        <f>IF(W54&gt;=40,"REVIEW","OK")</f>
        <v/>
      </c>
    </row>
    <row r="55">
      <c r="A55" s="6" t="inlineStr">
        <is>
          <t>TXN-00054</t>
        </is>
      </c>
      <c r="B55" s="6" t="inlineStr">
        <is>
          <t>ACC-0031</t>
        </is>
      </c>
      <c r="C55" s="6" t="inlineStr">
        <is>
          <t>Cash Withdrawal (Agent)</t>
        </is>
      </c>
      <c r="D55" s="6" t="n">
        <v>2442</v>
      </c>
      <c r="E55" s="6" t="n">
        <v>3</v>
      </c>
      <c r="F55" s="6" t="n">
        <v>0</v>
      </c>
      <c r="G55" s="6" t="n">
        <v>2</v>
      </c>
      <c r="H55" s="6" t="n">
        <v>0</v>
      </c>
      <c r="I55" s="6" t="n">
        <v>0</v>
      </c>
      <c r="J55" s="6" t="n">
        <v>0</v>
      </c>
      <c r="L55" t="inlineStr">
        <is>
          <t>ACC-0054</t>
        </is>
      </c>
      <c r="M55" t="n">
        <v>9977.07</v>
      </c>
      <c r="N55" t="n">
        <v>3485.76</v>
      </c>
      <c r="P55" s="7">
        <f>(D55-VLOOKUP(B55,$L$2:$N$61,2,FALSE))/VLOOKUP(B55,$L$2:$N$61,3,FALSE)</f>
        <v/>
      </c>
      <c r="Q55" s="6">
        <f>IF(P55&gt;2.5,1,0)</f>
        <v/>
      </c>
      <c r="R55" s="6">
        <f>IF(G55&gt;4,1,0)</f>
        <v/>
      </c>
      <c r="S55" s="6">
        <f>IF(AND(F55=1,P55&gt;0.5),1,0)</f>
        <v/>
      </c>
      <c r="T55" s="6">
        <f>IF(AND(OR(E55&gt;=23,E55&lt;=5),P55&gt;0),1,0)</f>
        <v/>
      </c>
      <c r="U55" s="6">
        <f>IF(H55=1,1,0)</f>
        <v/>
      </c>
      <c r="V55" s="6">
        <f>IF(I55&gt;=3,1,0)</f>
        <v/>
      </c>
      <c r="W55" s="6">
        <f>Q55*20+R55*15+S55*30+T55*15+U55*25+V55*20</f>
        <v/>
      </c>
      <c r="X55" s="6">
        <f>IF(W55&gt;=40,"REVIEW","OK")</f>
        <v/>
      </c>
    </row>
    <row r="56">
      <c r="A56" s="6" t="inlineStr">
        <is>
          <t>TXN-00055</t>
        </is>
      </c>
      <c r="B56" s="6" t="inlineStr">
        <is>
          <t>ACC-0055</t>
        </is>
      </c>
      <c r="C56" s="6" t="inlineStr">
        <is>
          <t>Merchant Payment</t>
        </is>
      </c>
      <c r="D56" s="6" t="n">
        <v>14831</v>
      </c>
      <c r="E56" s="6" t="n">
        <v>12</v>
      </c>
      <c r="F56" s="6" t="n">
        <v>0</v>
      </c>
      <c r="G56" s="6" t="n">
        <v>5</v>
      </c>
      <c r="H56" s="6" t="n">
        <v>0</v>
      </c>
      <c r="I56" s="6" t="n">
        <v>0</v>
      </c>
      <c r="J56" s="6" t="n">
        <v>0</v>
      </c>
      <c r="L56" t="inlineStr">
        <is>
          <t>ACC-0055</t>
        </is>
      </c>
      <c r="M56" t="n">
        <v>14430.22</v>
      </c>
      <c r="N56" t="n">
        <v>3477.82</v>
      </c>
      <c r="P56" s="7">
        <f>(D56-VLOOKUP(B56,$L$2:$N$61,2,FALSE))/VLOOKUP(B56,$L$2:$N$61,3,FALSE)</f>
        <v/>
      </c>
      <c r="Q56" s="6">
        <f>IF(P56&gt;2.5,1,0)</f>
        <v/>
      </c>
      <c r="R56" s="6">
        <f>IF(G56&gt;4,1,0)</f>
        <v/>
      </c>
      <c r="S56" s="6">
        <f>IF(AND(F56=1,P56&gt;0.5),1,0)</f>
        <v/>
      </c>
      <c r="T56" s="6">
        <f>IF(AND(OR(E56&gt;=23,E56&lt;=5),P56&gt;0),1,0)</f>
        <v/>
      </c>
      <c r="U56" s="6">
        <f>IF(H56=1,1,0)</f>
        <v/>
      </c>
      <c r="V56" s="6">
        <f>IF(I56&gt;=3,1,0)</f>
        <v/>
      </c>
      <c r="W56" s="6">
        <f>Q56*20+R56*15+S56*30+T56*15+U56*25+V56*20</f>
        <v/>
      </c>
      <c r="X56" s="6">
        <f>IF(W56&gt;=40,"REVIEW","OK")</f>
        <v/>
      </c>
    </row>
    <row r="57">
      <c r="A57" s="6" t="inlineStr">
        <is>
          <t>TXN-00056</t>
        </is>
      </c>
      <c r="B57" s="6" t="inlineStr">
        <is>
          <t>ACC-0008</t>
        </is>
      </c>
      <c r="C57" s="6" t="inlineStr">
        <is>
          <t>Merchant Payment</t>
        </is>
      </c>
      <c r="D57" s="6" t="n">
        <v>11960</v>
      </c>
      <c r="E57" s="6" t="n">
        <v>23</v>
      </c>
      <c r="F57" s="6" t="n">
        <v>0</v>
      </c>
      <c r="G57" s="6" t="n">
        <v>5</v>
      </c>
      <c r="H57" s="6" t="n">
        <v>1</v>
      </c>
      <c r="I57" s="6" t="n">
        <v>0</v>
      </c>
      <c r="J57" s="6" t="n">
        <v>0</v>
      </c>
      <c r="L57" t="inlineStr">
        <is>
          <t>ACC-0056</t>
        </is>
      </c>
      <c r="M57" t="n">
        <v>5397.99</v>
      </c>
      <c r="N57" t="n">
        <v>2099.22</v>
      </c>
      <c r="P57" s="7">
        <f>(D57-VLOOKUP(B57,$L$2:$N$61,2,FALSE))/VLOOKUP(B57,$L$2:$N$61,3,FALSE)</f>
        <v/>
      </c>
      <c r="Q57" s="6">
        <f>IF(P57&gt;2.5,1,0)</f>
        <v/>
      </c>
      <c r="R57" s="6">
        <f>IF(G57&gt;4,1,0)</f>
        <v/>
      </c>
      <c r="S57" s="6">
        <f>IF(AND(F57=1,P57&gt;0.5),1,0)</f>
        <v/>
      </c>
      <c r="T57" s="6">
        <f>IF(AND(OR(E57&gt;=23,E57&lt;=5),P57&gt;0),1,0)</f>
        <v/>
      </c>
      <c r="U57" s="6">
        <f>IF(H57=1,1,0)</f>
        <v/>
      </c>
      <c r="V57" s="6">
        <f>IF(I57&gt;=3,1,0)</f>
        <v/>
      </c>
      <c r="W57" s="6">
        <f>Q57*20+R57*15+S57*30+T57*15+U57*25+V57*20</f>
        <v/>
      </c>
      <c r="X57" s="6">
        <f>IF(W57&gt;=40,"REVIEW","OK")</f>
        <v/>
      </c>
    </row>
    <row r="58">
      <c r="A58" s="6" t="inlineStr">
        <is>
          <t>TXN-00057</t>
        </is>
      </c>
      <c r="B58" s="6" t="inlineStr">
        <is>
          <t>ACC-0011</t>
        </is>
      </c>
      <c r="C58" s="6" t="inlineStr">
        <is>
          <t>P2P Transfer</t>
        </is>
      </c>
      <c r="D58" s="6" t="n">
        <v>6785</v>
      </c>
      <c r="E58" s="6" t="n">
        <v>11</v>
      </c>
      <c r="F58" s="6" t="n">
        <v>0</v>
      </c>
      <c r="G58" s="6" t="n">
        <v>2</v>
      </c>
      <c r="H58" s="6" t="n">
        <v>0</v>
      </c>
      <c r="I58" s="6" t="n">
        <v>0</v>
      </c>
      <c r="J58" s="6" t="n">
        <v>0</v>
      </c>
      <c r="L58" t="inlineStr">
        <is>
          <t>ACC-0057</t>
        </is>
      </c>
      <c r="M58" t="n">
        <v>13394.68</v>
      </c>
      <c r="N58" t="n">
        <v>3931.81</v>
      </c>
      <c r="P58" s="7">
        <f>(D58-VLOOKUP(B58,$L$2:$N$61,2,FALSE))/VLOOKUP(B58,$L$2:$N$61,3,FALSE)</f>
        <v/>
      </c>
      <c r="Q58" s="6">
        <f>IF(P58&gt;2.5,1,0)</f>
        <v/>
      </c>
      <c r="R58" s="6">
        <f>IF(G58&gt;4,1,0)</f>
        <v/>
      </c>
      <c r="S58" s="6">
        <f>IF(AND(F58=1,P58&gt;0.5),1,0)</f>
        <v/>
      </c>
      <c r="T58" s="6">
        <f>IF(AND(OR(E58&gt;=23,E58&lt;=5),P58&gt;0),1,0)</f>
        <v/>
      </c>
      <c r="U58" s="6">
        <f>IF(H58=1,1,0)</f>
        <v/>
      </c>
      <c r="V58" s="6">
        <f>IF(I58&gt;=3,1,0)</f>
        <v/>
      </c>
      <c r="W58" s="6">
        <f>Q58*20+R58*15+S58*30+T58*15+U58*25+V58*20</f>
        <v/>
      </c>
      <c r="X58" s="6">
        <f>IF(W58&gt;=40,"REVIEW","OK")</f>
        <v/>
      </c>
    </row>
    <row r="59">
      <c r="A59" s="6" t="inlineStr">
        <is>
          <t>TXN-00058</t>
        </is>
      </c>
      <c r="B59" s="6" t="inlineStr">
        <is>
          <t>ACC-0006</t>
        </is>
      </c>
      <c r="C59" s="6" t="inlineStr">
        <is>
          <t>Airtime Top-up</t>
        </is>
      </c>
      <c r="D59" s="6" t="n">
        <v>12988</v>
      </c>
      <c r="E59" s="6" t="n">
        <v>10</v>
      </c>
      <c r="F59" s="6" t="n">
        <v>0</v>
      </c>
      <c r="G59" s="6" t="n">
        <v>4</v>
      </c>
      <c r="H59" s="6" t="n">
        <v>0</v>
      </c>
      <c r="I59" s="6" t="n">
        <v>0</v>
      </c>
      <c r="J59" s="6" t="n">
        <v>0</v>
      </c>
      <c r="L59" t="inlineStr">
        <is>
          <t>ACC-0058</t>
        </is>
      </c>
      <c r="M59" t="n">
        <v>11410.93</v>
      </c>
      <c r="N59" t="n">
        <v>4085.59</v>
      </c>
      <c r="P59" s="7">
        <f>(D59-VLOOKUP(B59,$L$2:$N$61,2,FALSE))/VLOOKUP(B59,$L$2:$N$61,3,FALSE)</f>
        <v/>
      </c>
      <c r="Q59" s="6">
        <f>IF(P59&gt;2.5,1,0)</f>
        <v/>
      </c>
      <c r="R59" s="6">
        <f>IF(G59&gt;4,1,0)</f>
        <v/>
      </c>
      <c r="S59" s="6">
        <f>IF(AND(F59=1,P59&gt;0.5),1,0)</f>
        <v/>
      </c>
      <c r="T59" s="6">
        <f>IF(AND(OR(E59&gt;=23,E59&lt;=5),P59&gt;0),1,0)</f>
        <v/>
      </c>
      <c r="U59" s="6">
        <f>IF(H59=1,1,0)</f>
        <v/>
      </c>
      <c r="V59" s="6">
        <f>IF(I59&gt;=3,1,0)</f>
        <v/>
      </c>
      <c r="W59" s="6">
        <f>Q59*20+R59*15+S59*30+T59*15+U59*25+V59*20</f>
        <v/>
      </c>
      <c r="X59" s="6">
        <f>IF(W59&gt;=40,"REVIEW","OK")</f>
        <v/>
      </c>
    </row>
    <row r="60">
      <c r="A60" s="6" t="inlineStr">
        <is>
          <t>TXN-00059</t>
        </is>
      </c>
      <c r="B60" s="6" t="inlineStr">
        <is>
          <t>ACC-0007</t>
        </is>
      </c>
      <c r="C60" s="6" t="inlineStr">
        <is>
          <t>Bill Payment</t>
        </is>
      </c>
      <c r="D60" s="6" t="n">
        <v>14460</v>
      </c>
      <c r="E60" s="6" t="n">
        <v>20</v>
      </c>
      <c r="F60" s="6" t="n">
        <v>0</v>
      </c>
      <c r="G60" s="6" t="n">
        <v>1</v>
      </c>
      <c r="H60" s="6" t="n">
        <v>0</v>
      </c>
      <c r="I60" s="6" t="n">
        <v>1</v>
      </c>
      <c r="J60" s="6" t="n">
        <v>0</v>
      </c>
      <c r="L60" t="inlineStr">
        <is>
          <t>ACC-0059</t>
        </is>
      </c>
      <c r="M60" t="n">
        <v>10715.61</v>
      </c>
      <c r="N60" t="n">
        <v>2219.78</v>
      </c>
      <c r="P60" s="7">
        <f>(D60-VLOOKUP(B60,$L$2:$N$61,2,FALSE))/VLOOKUP(B60,$L$2:$N$61,3,FALSE)</f>
        <v/>
      </c>
      <c r="Q60" s="6">
        <f>IF(P60&gt;2.5,1,0)</f>
        <v/>
      </c>
      <c r="R60" s="6">
        <f>IF(G60&gt;4,1,0)</f>
        <v/>
      </c>
      <c r="S60" s="6">
        <f>IF(AND(F60=1,P60&gt;0.5),1,0)</f>
        <v/>
      </c>
      <c r="T60" s="6">
        <f>IF(AND(OR(E60&gt;=23,E60&lt;=5),P60&gt;0),1,0)</f>
        <v/>
      </c>
      <c r="U60" s="6">
        <f>IF(H60=1,1,0)</f>
        <v/>
      </c>
      <c r="V60" s="6">
        <f>IF(I60&gt;=3,1,0)</f>
        <v/>
      </c>
      <c r="W60" s="6">
        <f>Q60*20+R60*15+S60*30+T60*15+U60*25+V60*20</f>
        <v/>
      </c>
      <c r="X60" s="6">
        <f>IF(W60&gt;=40,"REVIEW","OK")</f>
        <v/>
      </c>
    </row>
    <row r="61">
      <c r="A61" s="6" t="inlineStr">
        <is>
          <t>TXN-00060</t>
        </is>
      </c>
      <c r="B61" s="6" t="inlineStr">
        <is>
          <t>ACC-0033</t>
        </is>
      </c>
      <c r="C61" s="6" t="inlineStr">
        <is>
          <t>Cash Withdrawal (Agent)</t>
        </is>
      </c>
      <c r="D61" s="6" t="n">
        <v>4021</v>
      </c>
      <c r="E61" s="6" t="n">
        <v>21</v>
      </c>
      <c r="F61" s="6" t="n">
        <v>0</v>
      </c>
      <c r="G61" s="6" t="n">
        <v>2</v>
      </c>
      <c r="H61" s="6" t="n">
        <v>0</v>
      </c>
      <c r="I61" s="6" t="n">
        <v>0</v>
      </c>
      <c r="J61" s="6" t="n">
        <v>0</v>
      </c>
      <c r="L61" t="inlineStr">
        <is>
          <t>ACC-0060</t>
        </is>
      </c>
      <c r="M61" t="n">
        <v>2985.26</v>
      </c>
      <c r="N61" t="n">
        <v>674.73</v>
      </c>
      <c r="P61" s="7">
        <f>(D61-VLOOKUP(B61,$L$2:$N$61,2,FALSE))/VLOOKUP(B61,$L$2:$N$61,3,FALSE)</f>
        <v/>
      </c>
      <c r="Q61" s="6">
        <f>IF(P61&gt;2.5,1,0)</f>
        <v/>
      </c>
      <c r="R61" s="6">
        <f>IF(G61&gt;4,1,0)</f>
        <v/>
      </c>
      <c r="S61" s="6">
        <f>IF(AND(F61=1,P61&gt;0.5),1,0)</f>
        <v/>
      </c>
      <c r="T61" s="6">
        <f>IF(AND(OR(E61&gt;=23,E61&lt;=5),P61&gt;0),1,0)</f>
        <v/>
      </c>
      <c r="U61" s="6">
        <f>IF(H61=1,1,0)</f>
        <v/>
      </c>
      <c r="V61" s="6">
        <f>IF(I61&gt;=3,1,0)</f>
        <v/>
      </c>
      <c r="W61" s="6">
        <f>Q61*20+R61*15+S61*30+T61*15+U61*25+V61*20</f>
        <v/>
      </c>
      <c r="X61" s="6">
        <f>IF(W61&gt;=40,"REVIEW","OK")</f>
        <v/>
      </c>
    </row>
    <row r="62">
      <c r="A62" s="6" t="inlineStr">
        <is>
          <t>TXN-00061</t>
        </is>
      </c>
      <c r="B62" s="6" t="inlineStr">
        <is>
          <t>ACC-0032</t>
        </is>
      </c>
      <c r="C62" s="6" t="inlineStr">
        <is>
          <t>Cash Withdrawal (Agent)</t>
        </is>
      </c>
      <c r="D62" s="6" t="n">
        <v>9751</v>
      </c>
      <c r="E62" s="6" t="n">
        <v>19</v>
      </c>
      <c r="F62" s="6" t="n">
        <v>0</v>
      </c>
      <c r="G62" s="6" t="n">
        <v>1</v>
      </c>
      <c r="H62" s="6" t="n">
        <v>0</v>
      </c>
      <c r="I62" s="6" t="n">
        <v>0</v>
      </c>
      <c r="J62" s="6" t="n">
        <v>0</v>
      </c>
      <c r="P62" s="7">
        <f>(D62-VLOOKUP(B62,$L$2:$N$61,2,FALSE))/VLOOKUP(B62,$L$2:$N$61,3,FALSE)</f>
        <v/>
      </c>
      <c r="Q62" s="6">
        <f>IF(P62&gt;2.5,1,0)</f>
        <v/>
      </c>
      <c r="R62" s="6">
        <f>IF(G62&gt;4,1,0)</f>
        <v/>
      </c>
      <c r="S62" s="6">
        <f>IF(AND(F62=1,P62&gt;0.5),1,0)</f>
        <v/>
      </c>
      <c r="T62" s="6">
        <f>IF(AND(OR(E62&gt;=23,E62&lt;=5),P62&gt;0),1,0)</f>
        <v/>
      </c>
      <c r="U62" s="6">
        <f>IF(H62=1,1,0)</f>
        <v/>
      </c>
      <c r="V62" s="6">
        <f>IF(I62&gt;=3,1,0)</f>
        <v/>
      </c>
      <c r="W62" s="6">
        <f>Q62*20+R62*15+S62*30+T62*15+U62*25+V62*20</f>
        <v/>
      </c>
      <c r="X62" s="6">
        <f>IF(W62&gt;=40,"REVIEW","OK")</f>
        <v/>
      </c>
    </row>
    <row r="63">
      <c r="A63" s="6" t="inlineStr">
        <is>
          <t>TXN-00062</t>
        </is>
      </c>
      <c r="B63" s="6" t="inlineStr">
        <is>
          <t>ACC-0040</t>
        </is>
      </c>
      <c r="C63" s="6" t="inlineStr">
        <is>
          <t>Merchant Payment</t>
        </is>
      </c>
      <c r="D63" s="6" t="n">
        <v>1889</v>
      </c>
      <c r="E63" s="6" t="n">
        <v>20</v>
      </c>
      <c r="F63" s="6" t="n">
        <v>0</v>
      </c>
      <c r="G63" s="6" t="n">
        <v>7</v>
      </c>
      <c r="H63" s="6" t="n">
        <v>0</v>
      </c>
      <c r="I63" s="6" t="n">
        <v>0</v>
      </c>
      <c r="J63" s="6" t="n">
        <v>0</v>
      </c>
      <c r="P63" s="7">
        <f>(D63-VLOOKUP(B63,$L$2:$N$61,2,FALSE))/VLOOKUP(B63,$L$2:$N$61,3,FALSE)</f>
        <v/>
      </c>
      <c r="Q63" s="6">
        <f>IF(P63&gt;2.5,1,0)</f>
        <v/>
      </c>
      <c r="R63" s="6">
        <f>IF(G63&gt;4,1,0)</f>
        <v/>
      </c>
      <c r="S63" s="6">
        <f>IF(AND(F63=1,P63&gt;0.5),1,0)</f>
        <v/>
      </c>
      <c r="T63" s="6">
        <f>IF(AND(OR(E63&gt;=23,E63&lt;=5),P63&gt;0),1,0)</f>
        <v/>
      </c>
      <c r="U63" s="6">
        <f>IF(H63=1,1,0)</f>
        <v/>
      </c>
      <c r="V63" s="6">
        <f>IF(I63&gt;=3,1,0)</f>
        <v/>
      </c>
      <c r="W63" s="6">
        <f>Q63*20+R63*15+S63*30+T63*15+U63*25+V63*20</f>
        <v/>
      </c>
      <c r="X63" s="6">
        <f>IF(W63&gt;=40,"REVIEW","OK")</f>
        <v/>
      </c>
    </row>
    <row r="64">
      <c r="A64" s="6" t="inlineStr">
        <is>
          <t>TXN-00063</t>
        </is>
      </c>
      <c r="B64" s="6" t="inlineStr">
        <is>
          <t>ACC-0027</t>
        </is>
      </c>
      <c r="C64" s="6" t="inlineStr">
        <is>
          <t>P2P Transfer</t>
        </is>
      </c>
      <c r="D64" s="6" t="n">
        <v>9341</v>
      </c>
      <c r="E64" s="6" t="n">
        <v>0</v>
      </c>
      <c r="F64" s="6" t="n">
        <v>1</v>
      </c>
      <c r="G64" s="6" t="n">
        <v>6</v>
      </c>
      <c r="H64" s="6" t="n">
        <v>0</v>
      </c>
      <c r="I64" s="6" t="n">
        <v>0</v>
      </c>
      <c r="J64" s="6" t="n">
        <v>0</v>
      </c>
      <c r="P64" s="7">
        <f>(D64-VLOOKUP(B64,$L$2:$N$61,2,FALSE))/VLOOKUP(B64,$L$2:$N$61,3,FALSE)</f>
        <v/>
      </c>
      <c r="Q64" s="6">
        <f>IF(P64&gt;2.5,1,0)</f>
        <v/>
      </c>
      <c r="R64" s="6">
        <f>IF(G64&gt;4,1,0)</f>
        <v/>
      </c>
      <c r="S64" s="6">
        <f>IF(AND(F64=1,P64&gt;0.5),1,0)</f>
        <v/>
      </c>
      <c r="T64" s="6">
        <f>IF(AND(OR(E64&gt;=23,E64&lt;=5),P64&gt;0),1,0)</f>
        <v/>
      </c>
      <c r="U64" s="6">
        <f>IF(H64=1,1,0)</f>
        <v/>
      </c>
      <c r="V64" s="6">
        <f>IF(I64&gt;=3,1,0)</f>
        <v/>
      </c>
      <c r="W64" s="6">
        <f>Q64*20+R64*15+S64*30+T64*15+U64*25+V64*20</f>
        <v/>
      </c>
      <c r="X64" s="6">
        <f>IF(W64&gt;=40,"REVIEW","OK")</f>
        <v/>
      </c>
    </row>
    <row r="65">
      <c r="A65" s="6" t="inlineStr">
        <is>
          <t>TXN-00064</t>
        </is>
      </c>
      <c r="B65" s="6" t="inlineStr">
        <is>
          <t>ACC-0050</t>
        </is>
      </c>
      <c r="C65" s="6" t="inlineStr">
        <is>
          <t>Cash Withdrawal (Agent)</t>
        </is>
      </c>
      <c r="D65" s="6" t="n">
        <v>2102</v>
      </c>
      <c r="E65" s="6" t="n">
        <v>15</v>
      </c>
      <c r="F65" s="6" t="n">
        <v>0</v>
      </c>
      <c r="G65" s="6" t="n">
        <v>4</v>
      </c>
      <c r="H65" s="6" t="n">
        <v>0</v>
      </c>
      <c r="I65" s="6" t="n">
        <v>0</v>
      </c>
      <c r="J65" s="6" t="n">
        <v>0</v>
      </c>
      <c r="P65" s="7">
        <f>(D65-VLOOKUP(B65,$L$2:$N$61,2,FALSE))/VLOOKUP(B65,$L$2:$N$61,3,FALSE)</f>
        <v/>
      </c>
      <c r="Q65" s="6">
        <f>IF(P65&gt;2.5,1,0)</f>
        <v/>
      </c>
      <c r="R65" s="6">
        <f>IF(G65&gt;4,1,0)</f>
        <v/>
      </c>
      <c r="S65" s="6">
        <f>IF(AND(F65=1,P65&gt;0.5),1,0)</f>
        <v/>
      </c>
      <c r="T65" s="6">
        <f>IF(AND(OR(E65&gt;=23,E65&lt;=5),P65&gt;0),1,0)</f>
        <v/>
      </c>
      <c r="U65" s="6">
        <f>IF(H65=1,1,0)</f>
        <v/>
      </c>
      <c r="V65" s="6">
        <f>IF(I65&gt;=3,1,0)</f>
        <v/>
      </c>
      <c r="W65" s="6">
        <f>Q65*20+R65*15+S65*30+T65*15+U65*25+V65*20</f>
        <v/>
      </c>
      <c r="X65" s="6">
        <f>IF(W65&gt;=40,"REVIEW","OK")</f>
        <v/>
      </c>
    </row>
    <row r="66">
      <c r="A66" s="6" t="inlineStr">
        <is>
          <t>TXN-00065</t>
        </is>
      </c>
      <c r="B66" s="6" t="inlineStr">
        <is>
          <t>ACC-0028</t>
        </is>
      </c>
      <c r="C66" s="6" t="inlineStr">
        <is>
          <t>P2P Transfer</t>
        </is>
      </c>
      <c r="D66" s="6" t="n">
        <v>4015</v>
      </c>
      <c r="E66" s="6" t="n">
        <v>11</v>
      </c>
      <c r="F66" s="6" t="n">
        <v>0</v>
      </c>
      <c r="G66" s="6" t="n">
        <v>2</v>
      </c>
      <c r="H66" s="6" t="n">
        <v>0</v>
      </c>
      <c r="I66" s="6" t="n">
        <v>0</v>
      </c>
      <c r="J66" s="6" t="n">
        <v>0</v>
      </c>
      <c r="P66" s="7">
        <f>(D66-VLOOKUP(B66,$L$2:$N$61,2,FALSE))/VLOOKUP(B66,$L$2:$N$61,3,FALSE)</f>
        <v/>
      </c>
      <c r="Q66" s="6">
        <f>IF(P66&gt;2.5,1,0)</f>
        <v/>
      </c>
      <c r="R66" s="6">
        <f>IF(G66&gt;4,1,0)</f>
        <v/>
      </c>
      <c r="S66" s="6">
        <f>IF(AND(F66=1,P66&gt;0.5),1,0)</f>
        <v/>
      </c>
      <c r="T66" s="6">
        <f>IF(AND(OR(E66&gt;=23,E66&lt;=5),P66&gt;0),1,0)</f>
        <v/>
      </c>
      <c r="U66" s="6">
        <f>IF(H66=1,1,0)</f>
        <v/>
      </c>
      <c r="V66" s="6">
        <f>IF(I66&gt;=3,1,0)</f>
        <v/>
      </c>
      <c r="W66" s="6">
        <f>Q66*20+R66*15+S66*30+T66*15+U66*25+V66*20</f>
        <v/>
      </c>
      <c r="X66" s="6">
        <f>IF(W66&gt;=40,"REVIEW","OK")</f>
        <v/>
      </c>
    </row>
    <row r="67">
      <c r="A67" s="6" t="inlineStr">
        <is>
          <t>TXN-00066</t>
        </is>
      </c>
      <c r="B67" s="6" t="inlineStr">
        <is>
          <t>ACC-0036</t>
        </is>
      </c>
      <c r="C67" s="6" t="inlineStr">
        <is>
          <t>P2P Transfer</t>
        </is>
      </c>
      <c r="D67" s="6" t="n">
        <v>7125</v>
      </c>
      <c r="E67" s="6" t="n">
        <v>1</v>
      </c>
      <c r="F67" s="6" t="n">
        <v>0</v>
      </c>
      <c r="G67" s="6" t="n">
        <v>2</v>
      </c>
      <c r="H67" s="6" t="n">
        <v>0</v>
      </c>
      <c r="I67" s="6" t="n">
        <v>1</v>
      </c>
      <c r="J67" s="6" t="n">
        <v>0</v>
      </c>
      <c r="P67" s="7">
        <f>(D67-VLOOKUP(B67,$L$2:$N$61,2,FALSE))/VLOOKUP(B67,$L$2:$N$61,3,FALSE)</f>
        <v/>
      </c>
      <c r="Q67" s="6">
        <f>IF(P67&gt;2.5,1,0)</f>
        <v/>
      </c>
      <c r="R67" s="6">
        <f>IF(G67&gt;4,1,0)</f>
        <v/>
      </c>
      <c r="S67" s="6">
        <f>IF(AND(F67=1,P67&gt;0.5),1,0)</f>
        <v/>
      </c>
      <c r="T67" s="6">
        <f>IF(AND(OR(E67&gt;=23,E67&lt;=5),P67&gt;0),1,0)</f>
        <v/>
      </c>
      <c r="U67" s="6">
        <f>IF(H67=1,1,0)</f>
        <v/>
      </c>
      <c r="V67" s="6">
        <f>IF(I67&gt;=3,1,0)</f>
        <v/>
      </c>
      <c r="W67" s="6">
        <f>Q67*20+R67*15+S67*30+T67*15+U67*25+V67*20</f>
        <v/>
      </c>
      <c r="X67" s="6">
        <f>IF(W67&gt;=40,"REVIEW","OK")</f>
        <v/>
      </c>
    </row>
    <row r="68">
      <c r="A68" s="6" t="inlineStr">
        <is>
          <t>TXN-00067</t>
        </is>
      </c>
      <c r="B68" s="6" t="inlineStr">
        <is>
          <t>ACC-0058</t>
        </is>
      </c>
      <c r="C68" s="6" t="inlineStr">
        <is>
          <t>P2P Transfer</t>
        </is>
      </c>
      <c r="D68" s="6" t="n">
        <v>14129</v>
      </c>
      <c r="E68" s="6" t="n">
        <v>2</v>
      </c>
      <c r="F68" s="6" t="n">
        <v>0</v>
      </c>
      <c r="G68" s="6" t="n">
        <v>1</v>
      </c>
      <c r="H68" s="6" t="n">
        <v>0</v>
      </c>
      <c r="I68" s="6" t="n">
        <v>0</v>
      </c>
      <c r="J68" s="6" t="n">
        <v>0</v>
      </c>
      <c r="P68" s="7">
        <f>(D68-VLOOKUP(B68,$L$2:$N$61,2,FALSE))/VLOOKUP(B68,$L$2:$N$61,3,FALSE)</f>
        <v/>
      </c>
      <c r="Q68" s="6">
        <f>IF(P68&gt;2.5,1,0)</f>
        <v/>
      </c>
      <c r="R68" s="6">
        <f>IF(G68&gt;4,1,0)</f>
        <v/>
      </c>
      <c r="S68" s="6">
        <f>IF(AND(F68=1,P68&gt;0.5),1,0)</f>
        <v/>
      </c>
      <c r="T68" s="6">
        <f>IF(AND(OR(E68&gt;=23,E68&lt;=5),P68&gt;0),1,0)</f>
        <v/>
      </c>
      <c r="U68" s="6">
        <f>IF(H68=1,1,0)</f>
        <v/>
      </c>
      <c r="V68" s="6">
        <f>IF(I68&gt;=3,1,0)</f>
        <v/>
      </c>
      <c r="W68" s="6">
        <f>Q68*20+R68*15+S68*30+T68*15+U68*25+V68*20</f>
        <v/>
      </c>
      <c r="X68" s="6">
        <f>IF(W68&gt;=40,"REVIEW","OK")</f>
        <v/>
      </c>
    </row>
    <row r="69">
      <c r="A69" s="6" t="inlineStr">
        <is>
          <t>TXN-00068</t>
        </is>
      </c>
      <c r="B69" s="6" t="inlineStr">
        <is>
          <t>ACC-0043</t>
        </is>
      </c>
      <c r="C69" s="6" t="inlineStr">
        <is>
          <t>P2P Transfer</t>
        </is>
      </c>
      <c r="D69" s="6" t="n">
        <v>7849</v>
      </c>
      <c r="E69" s="6" t="n">
        <v>4</v>
      </c>
      <c r="F69" s="6" t="n">
        <v>0</v>
      </c>
      <c r="G69" s="6" t="n">
        <v>4</v>
      </c>
      <c r="H69" s="6" t="n">
        <v>0</v>
      </c>
      <c r="I69" s="6" t="n">
        <v>0</v>
      </c>
      <c r="J69" s="6" t="n">
        <v>0</v>
      </c>
      <c r="P69" s="7">
        <f>(D69-VLOOKUP(B69,$L$2:$N$61,2,FALSE))/VLOOKUP(B69,$L$2:$N$61,3,FALSE)</f>
        <v/>
      </c>
      <c r="Q69" s="6">
        <f>IF(P69&gt;2.5,1,0)</f>
        <v/>
      </c>
      <c r="R69" s="6">
        <f>IF(G69&gt;4,1,0)</f>
        <v/>
      </c>
      <c r="S69" s="6">
        <f>IF(AND(F69=1,P69&gt;0.5),1,0)</f>
        <v/>
      </c>
      <c r="T69" s="6">
        <f>IF(AND(OR(E69&gt;=23,E69&lt;=5),P69&gt;0),1,0)</f>
        <v/>
      </c>
      <c r="U69" s="6">
        <f>IF(H69=1,1,0)</f>
        <v/>
      </c>
      <c r="V69" s="6">
        <f>IF(I69&gt;=3,1,0)</f>
        <v/>
      </c>
      <c r="W69" s="6">
        <f>Q69*20+R69*15+S69*30+T69*15+U69*25+V69*20</f>
        <v/>
      </c>
      <c r="X69" s="6">
        <f>IF(W69&gt;=40,"REVIEW","OK")</f>
        <v/>
      </c>
    </row>
    <row r="70">
      <c r="A70" s="6" t="inlineStr">
        <is>
          <t>TXN-00069</t>
        </is>
      </c>
      <c r="B70" s="6" t="inlineStr">
        <is>
          <t>ACC-0036</t>
        </is>
      </c>
      <c r="C70" s="6" t="inlineStr">
        <is>
          <t>P2P Transfer</t>
        </is>
      </c>
      <c r="D70" s="6" t="n">
        <v>10267</v>
      </c>
      <c r="E70" s="6" t="n">
        <v>7</v>
      </c>
      <c r="F70" s="6" t="n">
        <v>0</v>
      </c>
      <c r="G70" s="6" t="n">
        <v>1</v>
      </c>
      <c r="H70" s="6" t="n">
        <v>0</v>
      </c>
      <c r="I70" s="6" t="n">
        <v>0</v>
      </c>
      <c r="J70" s="6" t="n">
        <v>0</v>
      </c>
      <c r="P70" s="7">
        <f>(D70-VLOOKUP(B70,$L$2:$N$61,2,FALSE))/VLOOKUP(B70,$L$2:$N$61,3,FALSE)</f>
        <v/>
      </c>
      <c r="Q70" s="6">
        <f>IF(P70&gt;2.5,1,0)</f>
        <v/>
      </c>
      <c r="R70" s="6">
        <f>IF(G70&gt;4,1,0)</f>
        <v/>
      </c>
      <c r="S70" s="6">
        <f>IF(AND(F70=1,P70&gt;0.5),1,0)</f>
        <v/>
      </c>
      <c r="T70" s="6">
        <f>IF(AND(OR(E70&gt;=23,E70&lt;=5),P70&gt;0),1,0)</f>
        <v/>
      </c>
      <c r="U70" s="6">
        <f>IF(H70=1,1,0)</f>
        <v/>
      </c>
      <c r="V70" s="6">
        <f>IF(I70&gt;=3,1,0)</f>
        <v/>
      </c>
      <c r="W70" s="6">
        <f>Q70*20+R70*15+S70*30+T70*15+U70*25+V70*20</f>
        <v/>
      </c>
      <c r="X70" s="6">
        <f>IF(W70&gt;=40,"REVIEW","OK")</f>
        <v/>
      </c>
    </row>
    <row r="71">
      <c r="A71" s="6" t="inlineStr">
        <is>
          <t>TXN-00070</t>
        </is>
      </c>
      <c r="B71" s="6" t="inlineStr">
        <is>
          <t>ACC-0054</t>
        </is>
      </c>
      <c r="C71" s="6" t="inlineStr">
        <is>
          <t>Airtime Top-up</t>
        </is>
      </c>
      <c r="D71" s="6" t="n">
        <v>8732</v>
      </c>
      <c r="E71" s="6" t="n">
        <v>12</v>
      </c>
      <c r="F71" s="6" t="n">
        <v>0</v>
      </c>
      <c r="G71" s="6" t="n">
        <v>1</v>
      </c>
      <c r="H71" s="6" t="n">
        <v>0</v>
      </c>
      <c r="I71" s="6" t="n">
        <v>0</v>
      </c>
      <c r="J71" s="6" t="n">
        <v>1</v>
      </c>
      <c r="P71" s="7">
        <f>(D71-VLOOKUP(B71,$L$2:$N$61,2,FALSE))/VLOOKUP(B71,$L$2:$N$61,3,FALSE)</f>
        <v/>
      </c>
      <c r="Q71" s="6">
        <f>IF(P71&gt;2.5,1,0)</f>
        <v/>
      </c>
      <c r="R71" s="6">
        <f>IF(G71&gt;4,1,0)</f>
        <v/>
      </c>
      <c r="S71" s="6">
        <f>IF(AND(F71=1,P71&gt;0.5),1,0)</f>
        <v/>
      </c>
      <c r="T71" s="6">
        <f>IF(AND(OR(E71&gt;=23,E71&lt;=5),P71&gt;0),1,0)</f>
        <v/>
      </c>
      <c r="U71" s="6">
        <f>IF(H71=1,1,0)</f>
        <v/>
      </c>
      <c r="V71" s="6">
        <f>IF(I71&gt;=3,1,0)</f>
        <v/>
      </c>
      <c r="W71" s="6">
        <f>Q71*20+R71*15+S71*30+T71*15+U71*25+V71*20</f>
        <v/>
      </c>
      <c r="X71" s="6">
        <f>IF(W71&gt;=40,"REVIEW","OK")</f>
        <v/>
      </c>
    </row>
    <row r="72">
      <c r="A72" s="6" t="inlineStr">
        <is>
          <t>TXN-00071</t>
        </is>
      </c>
      <c r="B72" s="6" t="inlineStr">
        <is>
          <t>ACC-0055</t>
        </is>
      </c>
      <c r="C72" s="6" t="inlineStr">
        <is>
          <t>P2P Transfer</t>
        </is>
      </c>
      <c r="D72" s="6" t="n">
        <v>10005</v>
      </c>
      <c r="E72" s="6" t="n">
        <v>1</v>
      </c>
      <c r="F72" s="6" t="n">
        <v>0</v>
      </c>
      <c r="G72" s="6" t="n">
        <v>3</v>
      </c>
      <c r="H72" s="6" t="n">
        <v>0</v>
      </c>
      <c r="I72" s="6" t="n">
        <v>3</v>
      </c>
      <c r="J72" s="6" t="n">
        <v>0</v>
      </c>
      <c r="P72" s="7">
        <f>(D72-VLOOKUP(B72,$L$2:$N$61,2,FALSE))/VLOOKUP(B72,$L$2:$N$61,3,FALSE)</f>
        <v/>
      </c>
      <c r="Q72" s="6">
        <f>IF(P72&gt;2.5,1,0)</f>
        <v/>
      </c>
      <c r="R72" s="6">
        <f>IF(G72&gt;4,1,0)</f>
        <v/>
      </c>
      <c r="S72" s="6">
        <f>IF(AND(F72=1,P72&gt;0.5),1,0)</f>
        <v/>
      </c>
      <c r="T72" s="6">
        <f>IF(AND(OR(E72&gt;=23,E72&lt;=5),P72&gt;0),1,0)</f>
        <v/>
      </c>
      <c r="U72" s="6">
        <f>IF(H72=1,1,0)</f>
        <v/>
      </c>
      <c r="V72" s="6">
        <f>IF(I72&gt;=3,1,0)</f>
        <v/>
      </c>
      <c r="W72" s="6">
        <f>Q72*20+R72*15+S72*30+T72*15+U72*25+V72*20</f>
        <v/>
      </c>
      <c r="X72" s="6">
        <f>IF(W72&gt;=40,"REVIEW","OK")</f>
        <v/>
      </c>
    </row>
    <row r="73">
      <c r="A73" s="6" t="inlineStr">
        <is>
          <t>TXN-00072</t>
        </is>
      </c>
      <c r="B73" s="6" t="inlineStr">
        <is>
          <t>ACC-0037</t>
        </is>
      </c>
      <c r="C73" s="6" t="inlineStr">
        <is>
          <t>Merchant Payment</t>
        </is>
      </c>
      <c r="D73" s="6" t="n">
        <v>5039</v>
      </c>
      <c r="E73" s="6" t="n">
        <v>0</v>
      </c>
      <c r="F73" s="6" t="n">
        <v>0</v>
      </c>
      <c r="G73" s="6" t="n">
        <v>3</v>
      </c>
      <c r="H73" s="6" t="n">
        <v>0</v>
      </c>
      <c r="I73" s="6" t="n">
        <v>0</v>
      </c>
      <c r="J73" s="6" t="n">
        <v>0</v>
      </c>
      <c r="P73" s="7">
        <f>(D73-VLOOKUP(B73,$L$2:$N$61,2,FALSE))/VLOOKUP(B73,$L$2:$N$61,3,FALSE)</f>
        <v/>
      </c>
      <c r="Q73" s="6">
        <f>IF(P73&gt;2.5,1,0)</f>
        <v/>
      </c>
      <c r="R73" s="6">
        <f>IF(G73&gt;4,1,0)</f>
        <v/>
      </c>
      <c r="S73" s="6">
        <f>IF(AND(F73=1,P73&gt;0.5),1,0)</f>
        <v/>
      </c>
      <c r="T73" s="6">
        <f>IF(AND(OR(E73&gt;=23,E73&lt;=5),P73&gt;0),1,0)</f>
        <v/>
      </c>
      <c r="U73" s="6">
        <f>IF(H73=1,1,0)</f>
        <v/>
      </c>
      <c r="V73" s="6">
        <f>IF(I73&gt;=3,1,0)</f>
        <v/>
      </c>
      <c r="W73" s="6">
        <f>Q73*20+R73*15+S73*30+T73*15+U73*25+V73*20</f>
        <v/>
      </c>
      <c r="X73" s="6">
        <f>IF(W73&gt;=40,"REVIEW","OK")</f>
        <v/>
      </c>
    </row>
    <row r="74">
      <c r="A74" s="6" t="inlineStr">
        <is>
          <t>TXN-00073</t>
        </is>
      </c>
      <c r="B74" s="6" t="inlineStr">
        <is>
          <t>ACC-0011</t>
        </is>
      </c>
      <c r="C74" s="6" t="inlineStr">
        <is>
          <t>P2P Transfer</t>
        </is>
      </c>
      <c r="D74" s="6" t="n">
        <v>6712</v>
      </c>
      <c r="E74" s="6" t="n">
        <v>3</v>
      </c>
      <c r="F74" s="6" t="n">
        <v>0</v>
      </c>
      <c r="G74" s="6" t="n">
        <v>1</v>
      </c>
      <c r="H74" s="6" t="n">
        <v>0</v>
      </c>
      <c r="I74" s="6" t="n">
        <v>0</v>
      </c>
      <c r="J74" s="6" t="n">
        <v>0</v>
      </c>
      <c r="P74" s="7">
        <f>(D74-VLOOKUP(B74,$L$2:$N$61,2,FALSE))/VLOOKUP(B74,$L$2:$N$61,3,FALSE)</f>
        <v/>
      </c>
      <c r="Q74" s="6">
        <f>IF(P74&gt;2.5,1,0)</f>
        <v/>
      </c>
      <c r="R74" s="6">
        <f>IF(G74&gt;4,1,0)</f>
        <v/>
      </c>
      <c r="S74" s="6">
        <f>IF(AND(F74=1,P74&gt;0.5),1,0)</f>
        <v/>
      </c>
      <c r="T74" s="6">
        <f>IF(AND(OR(E74&gt;=23,E74&lt;=5),P74&gt;0),1,0)</f>
        <v/>
      </c>
      <c r="U74" s="6">
        <f>IF(H74=1,1,0)</f>
        <v/>
      </c>
      <c r="V74" s="6">
        <f>IF(I74&gt;=3,1,0)</f>
        <v/>
      </c>
      <c r="W74" s="6">
        <f>Q74*20+R74*15+S74*30+T74*15+U74*25+V74*20</f>
        <v/>
      </c>
      <c r="X74" s="6">
        <f>IF(W74&gt;=40,"REVIEW","OK")</f>
        <v/>
      </c>
    </row>
    <row r="75">
      <c r="A75" s="6" t="inlineStr">
        <is>
          <t>TXN-00074</t>
        </is>
      </c>
      <c r="B75" s="6" t="inlineStr">
        <is>
          <t>ACC-0036</t>
        </is>
      </c>
      <c r="C75" s="6" t="inlineStr">
        <is>
          <t>P2P Transfer</t>
        </is>
      </c>
      <c r="D75" s="6" t="n">
        <v>8707</v>
      </c>
      <c r="E75" s="6" t="n">
        <v>21</v>
      </c>
      <c r="F75" s="6" t="n">
        <v>0</v>
      </c>
      <c r="G75" s="6" t="n">
        <v>1</v>
      </c>
      <c r="H75" s="6" t="n">
        <v>1</v>
      </c>
      <c r="I75" s="6" t="n">
        <v>0</v>
      </c>
      <c r="J75" s="6" t="n">
        <v>0</v>
      </c>
      <c r="P75" s="7">
        <f>(D75-VLOOKUP(B75,$L$2:$N$61,2,FALSE))/VLOOKUP(B75,$L$2:$N$61,3,FALSE)</f>
        <v/>
      </c>
      <c r="Q75" s="6">
        <f>IF(P75&gt;2.5,1,0)</f>
        <v/>
      </c>
      <c r="R75" s="6">
        <f>IF(G75&gt;4,1,0)</f>
        <v/>
      </c>
      <c r="S75" s="6">
        <f>IF(AND(F75=1,P75&gt;0.5),1,0)</f>
        <v/>
      </c>
      <c r="T75" s="6">
        <f>IF(AND(OR(E75&gt;=23,E75&lt;=5),P75&gt;0),1,0)</f>
        <v/>
      </c>
      <c r="U75" s="6">
        <f>IF(H75=1,1,0)</f>
        <v/>
      </c>
      <c r="V75" s="6">
        <f>IF(I75&gt;=3,1,0)</f>
        <v/>
      </c>
      <c r="W75" s="6">
        <f>Q75*20+R75*15+S75*30+T75*15+U75*25+V75*20</f>
        <v/>
      </c>
      <c r="X75" s="6">
        <f>IF(W75&gt;=40,"REVIEW","OK")</f>
        <v/>
      </c>
    </row>
    <row r="76">
      <c r="A76" s="6" t="inlineStr">
        <is>
          <t>TXN-00075</t>
        </is>
      </c>
      <c r="B76" s="6" t="inlineStr">
        <is>
          <t>ACC-0032</t>
        </is>
      </c>
      <c r="C76" s="6" t="inlineStr">
        <is>
          <t>Merchant Payment</t>
        </is>
      </c>
      <c r="D76" s="6" t="n">
        <v>6729</v>
      </c>
      <c r="E76" s="6" t="n">
        <v>14</v>
      </c>
      <c r="F76" s="6" t="n">
        <v>0</v>
      </c>
      <c r="G76" s="6" t="n">
        <v>2</v>
      </c>
      <c r="H76" s="6" t="n">
        <v>1</v>
      </c>
      <c r="I76" s="6" t="n">
        <v>0</v>
      </c>
      <c r="J76" s="6" t="n">
        <v>0</v>
      </c>
      <c r="P76" s="7">
        <f>(D76-VLOOKUP(B76,$L$2:$N$61,2,FALSE))/VLOOKUP(B76,$L$2:$N$61,3,FALSE)</f>
        <v/>
      </c>
      <c r="Q76" s="6">
        <f>IF(P76&gt;2.5,1,0)</f>
        <v/>
      </c>
      <c r="R76" s="6">
        <f>IF(G76&gt;4,1,0)</f>
        <v/>
      </c>
      <c r="S76" s="6">
        <f>IF(AND(F76=1,P76&gt;0.5),1,0)</f>
        <v/>
      </c>
      <c r="T76" s="6">
        <f>IF(AND(OR(E76&gt;=23,E76&lt;=5),P76&gt;0),1,0)</f>
        <v/>
      </c>
      <c r="U76" s="6">
        <f>IF(H76=1,1,0)</f>
        <v/>
      </c>
      <c r="V76" s="6">
        <f>IF(I76&gt;=3,1,0)</f>
        <v/>
      </c>
      <c r="W76" s="6">
        <f>Q76*20+R76*15+S76*30+T76*15+U76*25+V76*20</f>
        <v/>
      </c>
      <c r="X76" s="6">
        <f>IF(W76&gt;=40,"REVIEW","OK")</f>
        <v/>
      </c>
    </row>
    <row r="77">
      <c r="A77" s="6" t="inlineStr">
        <is>
          <t>TXN-00076</t>
        </is>
      </c>
      <c r="B77" s="6" t="inlineStr">
        <is>
          <t>ACC-0033</t>
        </is>
      </c>
      <c r="C77" s="6" t="inlineStr">
        <is>
          <t>P2P Transfer</t>
        </is>
      </c>
      <c r="D77" s="6" t="n">
        <v>5582</v>
      </c>
      <c r="E77" s="6" t="n">
        <v>6</v>
      </c>
      <c r="F77" s="6" t="n">
        <v>1</v>
      </c>
      <c r="G77" s="6" t="n">
        <v>1</v>
      </c>
      <c r="H77" s="6" t="n">
        <v>0</v>
      </c>
      <c r="I77" s="6" t="n">
        <v>0</v>
      </c>
      <c r="J77" s="6" t="n">
        <v>0</v>
      </c>
      <c r="P77" s="7">
        <f>(D77-VLOOKUP(B77,$L$2:$N$61,2,FALSE))/VLOOKUP(B77,$L$2:$N$61,3,FALSE)</f>
        <v/>
      </c>
      <c r="Q77" s="6">
        <f>IF(P77&gt;2.5,1,0)</f>
        <v/>
      </c>
      <c r="R77" s="6">
        <f>IF(G77&gt;4,1,0)</f>
        <v/>
      </c>
      <c r="S77" s="6">
        <f>IF(AND(F77=1,P77&gt;0.5),1,0)</f>
        <v/>
      </c>
      <c r="T77" s="6">
        <f>IF(AND(OR(E77&gt;=23,E77&lt;=5),P77&gt;0),1,0)</f>
        <v/>
      </c>
      <c r="U77" s="6">
        <f>IF(H77=1,1,0)</f>
        <v/>
      </c>
      <c r="V77" s="6">
        <f>IF(I77&gt;=3,1,0)</f>
        <v/>
      </c>
      <c r="W77" s="6">
        <f>Q77*20+R77*15+S77*30+T77*15+U77*25+V77*20</f>
        <v/>
      </c>
      <c r="X77" s="6">
        <f>IF(W77&gt;=40,"REVIEW","OK")</f>
        <v/>
      </c>
    </row>
    <row r="78">
      <c r="A78" s="6" t="inlineStr">
        <is>
          <t>TXN-00077</t>
        </is>
      </c>
      <c r="B78" s="6" t="inlineStr">
        <is>
          <t>ACC-0043</t>
        </is>
      </c>
      <c r="C78" s="6" t="inlineStr">
        <is>
          <t>Cash Withdrawal (Agent)</t>
        </is>
      </c>
      <c r="D78" s="6" t="n">
        <v>14783</v>
      </c>
      <c r="E78" s="6" t="n">
        <v>18</v>
      </c>
      <c r="F78" s="6" t="n">
        <v>0</v>
      </c>
      <c r="G78" s="6" t="n">
        <v>2</v>
      </c>
      <c r="H78" s="6" t="n">
        <v>0</v>
      </c>
      <c r="I78" s="6" t="n">
        <v>1</v>
      </c>
      <c r="J78" s="6" t="n">
        <v>0</v>
      </c>
      <c r="P78" s="7">
        <f>(D78-VLOOKUP(B78,$L$2:$N$61,2,FALSE))/VLOOKUP(B78,$L$2:$N$61,3,FALSE)</f>
        <v/>
      </c>
      <c r="Q78" s="6">
        <f>IF(P78&gt;2.5,1,0)</f>
        <v/>
      </c>
      <c r="R78" s="6">
        <f>IF(G78&gt;4,1,0)</f>
        <v/>
      </c>
      <c r="S78" s="6">
        <f>IF(AND(F78=1,P78&gt;0.5),1,0)</f>
        <v/>
      </c>
      <c r="T78" s="6">
        <f>IF(AND(OR(E78&gt;=23,E78&lt;=5),P78&gt;0),1,0)</f>
        <v/>
      </c>
      <c r="U78" s="6">
        <f>IF(H78=1,1,0)</f>
        <v/>
      </c>
      <c r="V78" s="6">
        <f>IF(I78&gt;=3,1,0)</f>
        <v/>
      </c>
      <c r="W78" s="6">
        <f>Q78*20+R78*15+S78*30+T78*15+U78*25+V78*20</f>
        <v/>
      </c>
      <c r="X78" s="6">
        <f>IF(W78&gt;=40,"REVIEW","OK")</f>
        <v/>
      </c>
    </row>
    <row r="79">
      <c r="A79" s="6" t="inlineStr">
        <is>
          <t>TXN-00078</t>
        </is>
      </c>
      <c r="B79" s="6" t="inlineStr">
        <is>
          <t>ACC-0007</t>
        </is>
      </c>
      <c r="C79" s="6" t="inlineStr">
        <is>
          <t>P2P Transfer</t>
        </is>
      </c>
      <c r="D79" s="6" t="n">
        <v>10819</v>
      </c>
      <c r="E79" s="6" t="n">
        <v>18</v>
      </c>
      <c r="F79" s="6" t="n">
        <v>1</v>
      </c>
      <c r="G79" s="6" t="n">
        <v>2</v>
      </c>
      <c r="H79" s="6" t="n">
        <v>0</v>
      </c>
      <c r="I79" s="6" t="n">
        <v>0</v>
      </c>
      <c r="J79" s="6" t="n">
        <v>0</v>
      </c>
      <c r="P79" s="7">
        <f>(D79-VLOOKUP(B79,$L$2:$N$61,2,FALSE))/VLOOKUP(B79,$L$2:$N$61,3,FALSE)</f>
        <v/>
      </c>
      <c r="Q79" s="6">
        <f>IF(P79&gt;2.5,1,0)</f>
        <v/>
      </c>
      <c r="R79" s="6">
        <f>IF(G79&gt;4,1,0)</f>
        <v/>
      </c>
      <c r="S79" s="6">
        <f>IF(AND(F79=1,P79&gt;0.5),1,0)</f>
        <v/>
      </c>
      <c r="T79" s="6">
        <f>IF(AND(OR(E79&gt;=23,E79&lt;=5),P79&gt;0),1,0)</f>
        <v/>
      </c>
      <c r="U79" s="6">
        <f>IF(H79=1,1,0)</f>
        <v/>
      </c>
      <c r="V79" s="6">
        <f>IF(I79&gt;=3,1,0)</f>
        <v/>
      </c>
      <c r="W79" s="6">
        <f>Q79*20+R79*15+S79*30+T79*15+U79*25+V79*20</f>
        <v/>
      </c>
      <c r="X79" s="6">
        <f>IF(W79&gt;=40,"REVIEW","OK")</f>
        <v/>
      </c>
    </row>
    <row r="80">
      <c r="A80" s="6" t="inlineStr">
        <is>
          <t>TXN-00079</t>
        </is>
      </c>
      <c r="B80" s="6" t="inlineStr">
        <is>
          <t>ACC-0039</t>
        </is>
      </c>
      <c r="C80" s="6" t="inlineStr">
        <is>
          <t>Airtime Top-up</t>
        </is>
      </c>
      <c r="D80" s="6" t="n">
        <v>8602</v>
      </c>
      <c r="E80" s="6" t="n">
        <v>14</v>
      </c>
      <c r="F80" s="6" t="n">
        <v>0</v>
      </c>
      <c r="G80" s="6" t="n">
        <v>1</v>
      </c>
      <c r="H80" s="6" t="n">
        <v>0</v>
      </c>
      <c r="I80" s="6" t="n">
        <v>0</v>
      </c>
      <c r="J80" s="6" t="n">
        <v>0</v>
      </c>
      <c r="P80" s="7">
        <f>(D80-VLOOKUP(B80,$L$2:$N$61,2,FALSE))/VLOOKUP(B80,$L$2:$N$61,3,FALSE)</f>
        <v/>
      </c>
      <c r="Q80" s="6">
        <f>IF(P80&gt;2.5,1,0)</f>
        <v/>
      </c>
      <c r="R80" s="6">
        <f>IF(G80&gt;4,1,0)</f>
        <v/>
      </c>
      <c r="S80" s="6">
        <f>IF(AND(F80=1,P80&gt;0.5),1,0)</f>
        <v/>
      </c>
      <c r="T80" s="6">
        <f>IF(AND(OR(E80&gt;=23,E80&lt;=5),P80&gt;0),1,0)</f>
        <v/>
      </c>
      <c r="U80" s="6">
        <f>IF(H80=1,1,0)</f>
        <v/>
      </c>
      <c r="V80" s="6">
        <f>IF(I80&gt;=3,1,0)</f>
        <v/>
      </c>
      <c r="W80" s="6">
        <f>Q80*20+R80*15+S80*30+T80*15+U80*25+V80*20</f>
        <v/>
      </c>
      <c r="X80" s="6">
        <f>IF(W80&gt;=40,"REVIEW","OK")</f>
        <v/>
      </c>
    </row>
    <row r="81">
      <c r="A81" s="6" t="inlineStr">
        <is>
          <t>TXN-00080</t>
        </is>
      </c>
      <c r="B81" s="6" t="inlineStr">
        <is>
          <t>ACC-0004</t>
        </is>
      </c>
      <c r="C81" s="6" t="inlineStr">
        <is>
          <t>P2P Transfer</t>
        </is>
      </c>
      <c r="D81" s="6" t="n">
        <v>4194</v>
      </c>
      <c r="E81" s="6" t="n">
        <v>13</v>
      </c>
      <c r="F81" s="6" t="n">
        <v>0</v>
      </c>
      <c r="G81" s="6" t="n">
        <v>1</v>
      </c>
      <c r="H81" s="6" t="n">
        <v>0</v>
      </c>
      <c r="I81" s="6" t="n">
        <v>0</v>
      </c>
      <c r="J81" s="6" t="n">
        <v>0</v>
      </c>
      <c r="P81" s="7">
        <f>(D81-VLOOKUP(B81,$L$2:$N$61,2,FALSE))/VLOOKUP(B81,$L$2:$N$61,3,FALSE)</f>
        <v/>
      </c>
      <c r="Q81" s="6">
        <f>IF(P81&gt;2.5,1,0)</f>
        <v/>
      </c>
      <c r="R81" s="6">
        <f>IF(G81&gt;4,1,0)</f>
        <v/>
      </c>
      <c r="S81" s="6">
        <f>IF(AND(F81=1,P81&gt;0.5),1,0)</f>
        <v/>
      </c>
      <c r="T81" s="6">
        <f>IF(AND(OR(E81&gt;=23,E81&lt;=5),P81&gt;0),1,0)</f>
        <v/>
      </c>
      <c r="U81" s="6">
        <f>IF(H81=1,1,0)</f>
        <v/>
      </c>
      <c r="V81" s="6">
        <f>IF(I81&gt;=3,1,0)</f>
        <v/>
      </c>
      <c r="W81" s="6">
        <f>Q81*20+R81*15+S81*30+T81*15+U81*25+V81*20</f>
        <v/>
      </c>
      <c r="X81" s="6">
        <f>IF(W81&gt;=40,"REVIEW","OK")</f>
        <v/>
      </c>
    </row>
    <row r="82">
      <c r="A82" s="6" t="inlineStr">
        <is>
          <t>TXN-00081</t>
        </is>
      </c>
      <c r="B82" s="6" t="inlineStr">
        <is>
          <t>ACC-0034</t>
        </is>
      </c>
      <c r="C82" s="6" t="inlineStr">
        <is>
          <t>P2P Transfer</t>
        </is>
      </c>
      <c r="D82" s="6" t="n">
        <v>18669</v>
      </c>
      <c r="E82" s="6" t="n">
        <v>7</v>
      </c>
      <c r="F82" s="6" t="n">
        <v>0</v>
      </c>
      <c r="G82" s="6" t="n">
        <v>4</v>
      </c>
      <c r="H82" s="6" t="n">
        <v>1</v>
      </c>
      <c r="I82" s="6" t="n">
        <v>0</v>
      </c>
      <c r="J82" s="6" t="n">
        <v>0</v>
      </c>
      <c r="P82" s="7">
        <f>(D82-VLOOKUP(B82,$L$2:$N$61,2,FALSE))/VLOOKUP(B82,$L$2:$N$61,3,FALSE)</f>
        <v/>
      </c>
      <c r="Q82" s="6">
        <f>IF(P82&gt;2.5,1,0)</f>
        <v/>
      </c>
      <c r="R82" s="6">
        <f>IF(G82&gt;4,1,0)</f>
        <v/>
      </c>
      <c r="S82" s="6">
        <f>IF(AND(F82=1,P82&gt;0.5),1,0)</f>
        <v/>
      </c>
      <c r="T82" s="6">
        <f>IF(AND(OR(E82&gt;=23,E82&lt;=5),P82&gt;0),1,0)</f>
        <v/>
      </c>
      <c r="U82" s="6">
        <f>IF(H82=1,1,0)</f>
        <v/>
      </c>
      <c r="V82" s="6">
        <f>IF(I82&gt;=3,1,0)</f>
        <v/>
      </c>
      <c r="W82" s="6">
        <f>Q82*20+R82*15+S82*30+T82*15+U82*25+V82*20</f>
        <v/>
      </c>
      <c r="X82" s="6">
        <f>IF(W82&gt;=40,"REVIEW","OK")</f>
        <v/>
      </c>
    </row>
    <row r="83">
      <c r="A83" s="6" t="inlineStr">
        <is>
          <t>TXN-00082</t>
        </is>
      </c>
      <c r="B83" s="6" t="inlineStr">
        <is>
          <t>ACC-0011</t>
        </is>
      </c>
      <c r="C83" s="6" t="inlineStr">
        <is>
          <t>P2P Transfer</t>
        </is>
      </c>
      <c r="D83" s="6" t="n">
        <v>4597</v>
      </c>
      <c r="E83" s="6" t="n">
        <v>18</v>
      </c>
      <c r="F83" s="6" t="n">
        <v>1</v>
      </c>
      <c r="G83" s="6" t="n">
        <v>5</v>
      </c>
      <c r="H83" s="6" t="n">
        <v>0</v>
      </c>
      <c r="I83" s="6" t="n">
        <v>0</v>
      </c>
      <c r="J83" s="6" t="n">
        <v>0</v>
      </c>
      <c r="P83" s="7">
        <f>(D83-VLOOKUP(B83,$L$2:$N$61,2,FALSE))/VLOOKUP(B83,$L$2:$N$61,3,FALSE)</f>
        <v/>
      </c>
      <c r="Q83" s="6">
        <f>IF(P83&gt;2.5,1,0)</f>
        <v/>
      </c>
      <c r="R83" s="6">
        <f>IF(G83&gt;4,1,0)</f>
        <v/>
      </c>
      <c r="S83" s="6">
        <f>IF(AND(F83=1,P83&gt;0.5),1,0)</f>
        <v/>
      </c>
      <c r="T83" s="6">
        <f>IF(AND(OR(E83&gt;=23,E83&lt;=5),P83&gt;0),1,0)</f>
        <v/>
      </c>
      <c r="U83" s="6">
        <f>IF(H83=1,1,0)</f>
        <v/>
      </c>
      <c r="V83" s="6">
        <f>IF(I83&gt;=3,1,0)</f>
        <v/>
      </c>
      <c r="W83" s="6">
        <f>Q83*20+R83*15+S83*30+T83*15+U83*25+V83*20</f>
        <v/>
      </c>
      <c r="X83" s="6">
        <f>IF(W83&gt;=40,"REVIEW","OK")</f>
        <v/>
      </c>
    </row>
    <row r="84">
      <c r="A84" s="6" t="inlineStr">
        <is>
          <t>TXN-00083</t>
        </is>
      </c>
      <c r="B84" s="6" t="inlineStr">
        <is>
          <t>ACC-0010</t>
        </is>
      </c>
      <c r="C84" s="6" t="inlineStr">
        <is>
          <t>P2P Transfer</t>
        </is>
      </c>
      <c r="D84" s="6" t="n">
        <v>13411</v>
      </c>
      <c r="E84" s="6" t="n">
        <v>0</v>
      </c>
      <c r="F84" s="6" t="n">
        <v>0</v>
      </c>
      <c r="G84" s="6" t="n">
        <v>1</v>
      </c>
      <c r="H84" s="6" t="n">
        <v>0</v>
      </c>
      <c r="I84" s="6" t="n">
        <v>0</v>
      </c>
      <c r="J84" s="6" t="n">
        <v>0</v>
      </c>
      <c r="P84" s="7">
        <f>(D84-VLOOKUP(B84,$L$2:$N$61,2,FALSE))/VLOOKUP(B84,$L$2:$N$61,3,FALSE)</f>
        <v/>
      </c>
      <c r="Q84" s="6">
        <f>IF(P84&gt;2.5,1,0)</f>
        <v/>
      </c>
      <c r="R84" s="6">
        <f>IF(G84&gt;4,1,0)</f>
        <v/>
      </c>
      <c r="S84" s="6">
        <f>IF(AND(F84=1,P84&gt;0.5),1,0)</f>
        <v/>
      </c>
      <c r="T84" s="6">
        <f>IF(AND(OR(E84&gt;=23,E84&lt;=5),P84&gt;0),1,0)</f>
        <v/>
      </c>
      <c r="U84" s="6">
        <f>IF(H84=1,1,0)</f>
        <v/>
      </c>
      <c r="V84" s="6">
        <f>IF(I84&gt;=3,1,0)</f>
        <v/>
      </c>
      <c r="W84" s="6">
        <f>Q84*20+R84*15+S84*30+T84*15+U84*25+V84*20</f>
        <v/>
      </c>
      <c r="X84" s="6">
        <f>IF(W84&gt;=40,"REVIEW","OK")</f>
        <v/>
      </c>
    </row>
    <row r="85">
      <c r="A85" s="6" t="inlineStr">
        <is>
          <t>TXN-00084</t>
        </is>
      </c>
      <c r="B85" s="6" t="inlineStr">
        <is>
          <t>ACC-0044</t>
        </is>
      </c>
      <c r="C85" s="6" t="inlineStr">
        <is>
          <t>Airtime Top-up</t>
        </is>
      </c>
      <c r="D85" s="6" t="n">
        <v>5852</v>
      </c>
      <c r="E85" s="6" t="n">
        <v>1</v>
      </c>
      <c r="F85" s="6" t="n">
        <v>0</v>
      </c>
      <c r="G85" s="6" t="n">
        <v>1</v>
      </c>
      <c r="H85" s="6" t="n">
        <v>0</v>
      </c>
      <c r="I85" s="6" t="n">
        <v>1</v>
      </c>
      <c r="J85" s="6" t="n">
        <v>0</v>
      </c>
      <c r="P85" s="7">
        <f>(D85-VLOOKUP(B85,$L$2:$N$61,2,FALSE))/VLOOKUP(B85,$L$2:$N$61,3,FALSE)</f>
        <v/>
      </c>
      <c r="Q85" s="6">
        <f>IF(P85&gt;2.5,1,0)</f>
        <v/>
      </c>
      <c r="R85" s="6">
        <f>IF(G85&gt;4,1,0)</f>
        <v/>
      </c>
      <c r="S85" s="6">
        <f>IF(AND(F85=1,P85&gt;0.5),1,0)</f>
        <v/>
      </c>
      <c r="T85" s="6">
        <f>IF(AND(OR(E85&gt;=23,E85&lt;=5),P85&gt;0),1,0)</f>
        <v/>
      </c>
      <c r="U85" s="6">
        <f>IF(H85=1,1,0)</f>
        <v/>
      </c>
      <c r="V85" s="6">
        <f>IF(I85&gt;=3,1,0)</f>
        <v/>
      </c>
      <c r="W85" s="6">
        <f>Q85*20+R85*15+S85*30+T85*15+U85*25+V85*20</f>
        <v/>
      </c>
      <c r="X85" s="6">
        <f>IF(W85&gt;=40,"REVIEW","OK")</f>
        <v/>
      </c>
    </row>
    <row r="86">
      <c r="A86" s="6" t="inlineStr">
        <is>
          <t>TXN-00085</t>
        </is>
      </c>
      <c r="B86" s="6" t="inlineStr">
        <is>
          <t>ACC-0007</t>
        </is>
      </c>
      <c r="C86" s="6" t="inlineStr">
        <is>
          <t>Bill Payment</t>
        </is>
      </c>
      <c r="D86" s="6" t="n">
        <v>8271</v>
      </c>
      <c r="E86" s="6" t="n">
        <v>7</v>
      </c>
      <c r="F86" s="6" t="n">
        <v>0</v>
      </c>
      <c r="G86" s="6" t="n">
        <v>4</v>
      </c>
      <c r="H86" s="6" t="n">
        <v>0</v>
      </c>
      <c r="I86" s="6" t="n">
        <v>0</v>
      </c>
      <c r="J86" s="6" t="n">
        <v>0</v>
      </c>
      <c r="P86" s="7">
        <f>(D86-VLOOKUP(B86,$L$2:$N$61,2,FALSE))/VLOOKUP(B86,$L$2:$N$61,3,FALSE)</f>
        <v/>
      </c>
      <c r="Q86" s="6">
        <f>IF(P86&gt;2.5,1,0)</f>
        <v/>
      </c>
      <c r="R86" s="6">
        <f>IF(G86&gt;4,1,0)</f>
        <v/>
      </c>
      <c r="S86" s="6">
        <f>IF(AND(F86=1,P86&gt;0.5),1,0)</f>
        <v/>
      </c>
      <c r="T86" s="6">
        <f>IF(AND(OR(E86&gt;=23,E86&lt;=5),P86&gt;0),1,0)</f>
        <v/>
      </c>
      <c r="U86" s="6">
        <f>IF(H86=1,1,0)</f>
        <v/>
      </c>
      <c r="V86" s="6">
        <f>IF(I86&gt;=3,1,0)</f>
        <v/>
      </c>
      <c r="W86" s="6">
        <f>Q86*20+R86*15+S86*30+T86*15+U86*25+V86*20</f>
        <v/>
      </c>
      <c r="X86" s="6">
        <f>IF(W86&gt;=40,"REVIEW","OK")</f>
        <v/>
      </c>
    </row>
    <row r="87">
      <c r="A87" s="6" t="inlineStr">
        <is>
          <t>TXN-00086</t>
        </is>
      </c>
      <c r="B87" s="6" t="inlineStr">
        <is>
          <t>ACC-0044</t>
        </is>
      </c>
      <c r="C87" s="6" t="inlineStr">
        <is>
          <t>P2P Transfer</t>
        </is>
      </c>
      <c r="D87" s="6" t="n">
        <v>4029</v>
      </c>
      <c r="E87" s="6" t="n">
        <v>16</v>
      </c>
      <c r="F87" s="6" t="n">
        <v>0</v>
      </c>
      <c r="G87" s="6" t="n">
        <v>1</v>
      </c>
      <c r="H87" s="6" t="n">
        <v>0</v>
      </c>
      <c r="I87" s="6" t="n">
        <v>0</v>
      </c>
      <c r="J87" s="6" t="n">
        <v>0</v>
      </c>
      <c r="P87" s="7">
        <f>(D87-VLOOKUP(B87,$L$2:$N$61,2,FALSE))/VLOOKUP(B87,$L$2:$N$61,3,FALSE)</f>
        <v/>
      </c>
      <c r="Q87" s="6">
        <f>IF(P87&gt;2.5,1,0)</f>
        <v/>
      </c>
      <c r="R87" s="6">
        <f>IF(G87&gt;4,1,0)</f>
        <v/>
      </c>
      <c r="S87" s="6">
        <f>IF(AND(F87=1,P87&gt;0.5),1,0)</f>
        <v/>
      </c>
      <c r="T87" s="6">
        <f>IF(AND(OR(E87&gt;=23,E87&lt;=5),P87&gt;0),1,0)</f>
        <v/>
      </c>
      <c r="U87" s="6">
        <f>IF(H87=1,1,0)</f>
        <v/>
      </c>
      <c r="V87" s="6">
        <f>IF(I87&gt;=3,1,0)</f>
        <v/>
      </c>
      <c r="W87" s="6">
        <f>Q87*20+R87*15+S87*30+T87*15+U87*25+V87*20</f>
        <v/>
      </c>
      <c r="X87" s="6">
        <f>IF(W87&gt;=40,"REVIEW","OK")</f>
        <v/>
      </c>
    </row>
    <row r="88">
      <c r="A88" s="6" t="inlineStr">
        <is>
          <t>TXN-00087</t>
        </is>
      </c>
      <c r="B88" s="6" t="inlineStr">
        <is>
          <t>ACC-0019</t>
        </is>
      </c>
      <c r="C88" s="6" t="inlineStr">
        <is>
          <t>Merchant Payment</t>
        </is>
      </c>
      <c r="D88" s="6" t="n">
        <v>19787</v>
      </c>
      <c r="E88" s="6" t="n">
        <v>12</v>
      </c>
      <c r="F88" s="6" t="n">
        <v>0</v>
      </c>
      <c r="G88" s="6" t="n">
        <v>1</v>
      </c>
      <c r="H88" s="6" t="n">
        <v>0</v>
      </c>
      <c r="I88" s="6" t="n">
        <v>0</v>
      </c>
      <c r="J88" s="6" t="n">
        <v>0</v>
      </c>
      <c r="P88" s="7">
        <f>(D88-VLOOKUP(B88,$L$2:$N$61,2,FALSE))/VLOOKUP(B88,$L$2:$N$61,3,FALSE)</f>
        <v/>
      </c>
      <c r="Q88" s="6">
        <f>IF(P88&gt;2.5,1,0)</f>
        <v/>
      </c>
      <c r="R88" s="6">
        <f>IF(G88&gt;4,1,0)</f>
        <v/>
      </c>
      <c r="S88" s="6">
        <f>IF(AND(F88=1,P88&gt;0.5),1,0)</f>
        <v/>
      </c>
      <c r="T88" s="6">
        <f>IF(AND(OR(E88&gt;=23,E88&lt;=5),P88&gt;0),1,0)</f>
        <v/>
      </c>
      <c r="U88" s="6">
        <f>IF(H88=1,1,0)</f>
        <v/>
      </c>
      <c r="V88" s="6">
        <f>IF(I88&gt;=3,1,0)</f>
        <v/>
      </c>
      <c r="W88" s="6">
        <f>Q88*20+R88*15+S88*30+T88*15+U88*25+V88*20</f>
        <v/>
      </c>
      <c r="X88" s="6">
        <f>IF(W88&gt;=40,"REVIEW","OK")</f>
        <v/>
      </c>
    </row>
    <row r="89">
      <c r="A89" s="6" t="inlineStr">
        <is>
          <t>TXN-00088</t>
        </is>
      </c>
      <c r="B89" s="6" t="inlineStr">
        <is>
          <t>ACC-0003</t>
        </is>
      </c>
      <c r="C89" s="6" t="inlineStr">
        <is>
          <t>P2P Transfer</t>
        </is>
      </c>
      <c r="D89" s="6" t="n">
        <v>6278</v>
      </c>
      <c r="E89" s="6" t="n">
        <v>18</v>
      </c>
      <c r="F89" s="6" t="n">
        <v>1</v>
      </c>
      <c r="G89" s="6" t="n">
        <v>1</v>
      </c>
      <c r="H89" s="6" t="n">
        <v>0</v>
      </c>
      <c r="I89" s="6" t="n">
        <v>0</v>
      </c>
      <c r="J89" s="6" t="n">
        <v>0</v>
      </c>
      <c r="P89" s="7">
        <f>(D89-VLOOKUP(B89,$L$2:$N$61,2,FALSE))/VLOOKUP(B89,$L$2:$N$61,3,FALSE)</f>
        <v/>
      </c>
      <c r="Q89" s="6">
        <f>IF(P89&gt;2.5,1,0)</f>
        <v/>
      </c>
      <c r="R89" s="6">
        <f>IF(G89&gt;4,1,0)</f>
        <v/>
      </c>
      <c r="S89" s="6">
        <f>IF(AND(F89=1,P89&gt;0.5),1,0)</f>
        <v/>
      </c>
      <c r="T89" s="6">
        <f>IF(AND(OR(E89&gt;=23,E89&lt;=5),P89&gt;0),1,0)</f>
        <v/>
      </c>
      <c r="U89" s="6">
        <f>IF(H89=1,1,0)</f>
        <v/>
      </c>
      <c r="V89" s="6">
        <f>IF(I89&gt;=3,1,0)</f>
        <v/>
      </c>
      <c r="W89" s="6">
        <f>Q89*20+R89*15+S89*30+T89*15+U89*25+V89*20</f>
        <v/>
      </c>
      <c r="X89" s="6">
        <f>IF(W89&gt;=40,"REVIEW","OK")</f>
        <v/>
      </c>
    </row>
    <row r="90">
      <c r="A90" s="6" t="inlineStr">
        <is>
          <t>TXN-00089</t>
        </is>
      </c>
      <c r="B90" s="6" t="inlineStr">
        <is>
          <t>ACC-0047</t>
        </is>
      </c>
      <c r="C90" s="6" t="inlineStr">
        <is>
          <t>Bill Payment</t>
        </is>
      </c>
      <c r="D90" s="6" t="n">
        <v>11668</v>
      </c>
      <c r="E90" s="6" t="n">
        <v>6</v>
      </c>
      <c r="F90" s="6" t="n">
        <v>0</v>
      </c>
      <c r="G90" s="6" t="n">
        <v>1</v>
      </c>
      <c r="H90" s="6" t="n">
        <v>0</v>
      </c>
      <c r="I90" s="6" t="n">
        <v>1</v>
      </c>
      <c r="J90" s="6" t="n">
        <v>0</v>
      </c>
      <c r="P90" s="7">
        <f>(D90-VLOOKUP(B90,$L$2:$N$61,2,FALSE))/VLOOKUP(B90,$L$2:$N$61,3,FALSE)</f>
        <v/>
      </c>
      <c r="Q90" s="6">
        <f>IF(P90&gt;2.5,1,0)</f>
        <v/>
      </c>
      <c r="R90" s="6">
        <f>IF(G90&gt;4,1,0)</f>
        <v/>
      </c>
      <c r="S90" s="6">
        <f>IF(AND(F90=1,P90&gt;0.5),1,0)</f>
        <v/>
      </c>
      <c r="T90" s="6">
        <f>IF(AND(OR(E90&gt;=23,E90&lt;=5),P90&gt;0),1,0)</f>
        <v/>
      </c>
      <c r="U90" s="6">
        <f>IF(H90=1,1,0)</f>
        <v/>
      </c>
      <c r="V90" s="6">
        <f>IF(I90&gt;=3,1,0)</f>
        <v/>
      </c>
      <c r="W90" s="6">
        <f>Q90*20+R90*15+S90*30+T90*15+U90*25+V90*20</f>
        <v/>
      </c>
      <c r="X90" s="6">
        <f>IF(W90&gt;=40,"REVIEW","OK")</f>
        <v/>
      </c>
    </row>
    <row r="91">
      <c r="A91" s="6" t="inlineStr">
        <is>
          <t>TXN-00090</t>
        </is>
      </c>
      <c r="B91" s="6" t="inlineStr">
        <is>
          <t>ACC-0052</t>
        </is>
      </c>
      <c r="C91" s="6" t="inlineStr">
        <is>
          <t>Airtime Top-up</t>
        </is>
      </c>
      <c r="D91" s="6" t="n">
        <v>5404</v>
      </c>
      <c r="E91" s="6" t="n">
        <v>1</v>
      </c>
      <c r="F91" s="6" t="n">
        <v>1</v>
      </c>
      <c r="G91" s="6" t="n">
        <v>1</v>
      </c>
      <c r="H91" s="6" t="n">
        <v>0</v>
      </c>
      <c r="I91" s="6" t="n">
        <v>0</v>
      </c>
      <c r="J91" s="6" t="n">
        <v>0</v>
      </c>
      <c r="P91" s="7">
        <f>(D91-VLOOKUP(B91,$L$2:$N$61,2,FALSE))/VLOOKUP(B91,$L$2:$N$61,3,FALSE)</f>
        <v/>
      </c>
      <c r="Q91" s="6">
        <f>IF(P91&gt;2.5,1,0)</f>
        <v/>
      </c>
      <c r="R91" s="6">
        <f>IF(G91&gt;4,1,0)</f>
        <v/>
      </c>
      <c r="S91" s="6">
        <f>IF(AND(F91=1,P91&gt;0.5),1,0)</f>
        <v/>
      </c>
      <c r="T91" s="6">
        <f>IF(AND(OR(E91&gt;=23,E91&lt;=5),P91&gt;0),1,0)</f>
        <v/>
      </c>
      <c r="U91" s="6">
        <f>IF(H91=1,1,0)</f>
        <v/>
      </c>
      <c r="V91" s="6">
        <f>IF(I91&gt;=3,1,0)</f>
        <v/>
      </c>
      <c r="W91" s="6">
        <f>Q91*20+R91*15+S91*30+T91*15+U91*25+V91*20</f>
        <v/>
      </c>
      <c r="X91" s="6">
        <f>IF(W91&gt;=40,"REVIEW","OK")</f>
        <v/>
      </c>
    </row>
    <row r="92">
      <c r="A92" s="6" t="inlineStr">
        <is>
          <t>TXN-00091</t>
        </is>
      </c>
      <c r="B92" s="6" t="inlineStr">
        <is>
          <t>ACC-0029</t>
        </is>
      </c>
      <c r="C92" s="6" t="inlineStr">
        <is>
          <t>P2P Transfer</t>
        </is>
      </c>
      <c r="D92" s="6" t="n">
        <v>4536</v>
      </c>
      <c r="E92" s="6" t="n">
        <v>3</v>
      </c>
      <c r="F92" s="6" t="n">
        <v>0</v>
      </c>
      <c r="G92" s="6" t="n">
        <v>2</v>
      </c>
      <c r="H92" s="6" t="n">
        <v>1</v>
      </c>
      <c r="I92" s="6" t="n">
        <v>2</v>
      </c>
      <c r="J92" s="6" t="n">
        <v>0</v>
      </c>
      <c r="P92" s="7">
        <f>(D92-VLOOKUP(B92,$L$2:$N$61,2,FALSE))/VLOOKUP(B92,$L$2:$N$61,3,FALSE)</f>
        <v/>
      </c>
      <c r="Q92" s="6">
        <f>IF(P92&gt;2.5,1,0)</f>
        <v/>
      </c>
      <c r="R92" s="6">
        <f>IF(G92&gt;4,1,0)</f>
        <v/>
      </c>
      <c r="S92" s="6">
        <f>IF(AND(F92=1,P92&gt;0.5),1,0)</f>
        <v/>
      </c>
      <c r="T92" s="6">
        <f>IF(AND(OR(E92&gt;=23,E92&lt;=5),P92&gt;0),1,0)</f>
        <v/>
      </c>
      <c r="U92" s="6">
        <f>IF(H92=1,1,0)</f>
        <v/>
      </c>
      <c r="V92" s="6">
        <f>IF(I92&gt;=3,1,0)</f>
        <v/>
      </c>
      <c r="W92" s="6">
        <f>Q92*20+R92*15+S92*30+T92*15+U92*25+V92*20</f>
        <v/>
      </c>
      <c r="X92" s="6">
        <f>IF(W92&gt;=40,"REVIEW","OK")</f>
        <v/>
      </c>
    </row>
    <row r="93">
      <c r="A93" s="6" t="inlineStr">
        <is>
          <t>TXN-00092</t>
        </is>
      </c>
      <c r="B93" s="6" t="inlineStr">
        <is>
          <t>ACC-0021</t>
        </is>
      </c>
      <c r="C93" s="6" t="inlineStr">
        <is>
          <t>Merchant Payment</t>
        </is>
      </c>
      <c r="D93" s="6" t="n">
        <v>7976</v>
      </c>
      <c r="E93" s="6" t="n">
        <v>8</v>
      </c>
      <c r="F93" s="6" t="n">
        <v>0</v>
      </c>
      <c r="G93" s="6" t="n">
        <v>1</v>
      </c>
      <c r="H93" s="6" t="n">
        <v>0</v>
      </c>
      <c r="I93" s="6" t="n">
        <v>0</v>
      </c>
      <c r="J93" s="6" t="n">
        <v>0</v>
      </c>
      <c r="P93" s="7">
        <f>(D93-VLOOKUP(B93,$L$2:$N$61,2,FALSE))/VLOOKUP(B93,$L$2:$N$61,3,FALSE)</f>
        <v/>
      </c>
      <c r="Q93" s="6">
        <f>IF(P93&gt;2.5,1,0)</f>
        <v/>
      </c>
      <c r="R93" s="6">
        <f>IF(G93&gt;4,1,0)</f>
        <v/>
      </c>
      <c r="S93" s="6">
        <f>IF(AND(F93=1,P93&gt;0.5),1,0)</f>
        <v/>
      </c>
      <c r="T93" s="6">
        <f>IF(AND(OR(E93&gt;=23,E93&lt;=5),P93&gt;0),1,0)</f>
        <v/>
      </c>
      <c r="U93" s="6">
        <f>IF(H93=1,1,0)</f>
        <v/>
      </c>
      <c r="V93" s="6">
        <f>IF(I93&gt;=3,1,0)</f>
        <v/>
      </c>
      <c r="W93" s="6">
        <f>Q93*20+R93*15+S93*30+T93*15+U93*25+V93*20</f>
        <v/>
      </c>
      <c r="X93" s="6">
        <f>IF(W93&gt;=40,"REVIEW","OK")</f>
        <v/>
      </c>
    </row>
    <row r="94">
      <c r="A94" s="6" t="inlineStr">
        <is>
          <t>TXN-00093</t>
        </is>
      </c>
      <c r="B94" s="6" t="inlineStr">
        <is>
          <t>ACC-0053</t>
        </is>
      </c>
      <c r="C94" s="6" t="inlineStr">
        <is>
          <t>P2P Transfer</t>
        </is>
      </c>
      <c r="D94" s="6" t="n">
        <v>4033</v>
      </c>
      <c r="E94" s="6" t="n">
        <v>19</v>
      </c>
      <c r="F94" s="6" t="n">
        <v>0</v>
      </c>
      <c r="G94" s="6" t="n">
        <v>1</v>
      </c>
      <c r="H94" s="6" t="n">
        <v>0</v>
      </c>
      <c r="I94" s="6" t="n">
        <v>0</v>
      </c>
      <c r="J94" s="6" t="n">
        <v>0</v>
      </c>
      <c r="P94" s="7">
        <f>(D94-VLOOKUP(B94,$L$2:$N$61,2,FALSE))/VLOOKUP(B94,$L$2:$N$61,3,FALSE)</f>
        <v/>
      </c>
      <c r="Q94" s="6">
        <f>IF(P94&gt;2.5,1,0)</f>
        <v/>
      </c>
      <c r="R94" s="6">
        <f>IF(G94&gt;4,1,0)</f>
        <v/>
      </c>
      <c r="S94" s="6">
        <f>IF(AND(F94=1,P94&gt;0.5),1,0)</f>
        <v/>
      </c>
      <c r="T94" s="6">
        <f>IF(AND(OR(E94&gt;=23,E94&lt;=5),P94&gt;0),1,0)</f>
        <v/>
      </c>
      <c r="U94" s="6">
        <f>IF(H94=1,1,0)</f>
        <v/>
      </c>
      <c r="V94" s="6">
        <f>IF(I94&gt;=3,1,0)</f>
        <v/>
      </c>
      <c r="W94" s="6">
        <f>Q94*20+R94*15+S94*30+T94*15+U94*25+V94*20</f>
        <v/>
      </c>
      <c r="X94" s="6">
        <f>IF(W94&gt;=40,"REVIEW","OK")</f>
        <v/>
      </c>
    </row>
    <row r="95">
      <c r="A95" s="6" t="inlineStr">
        <is>
          <t>TXN-00094</t>
        </is>
      </c>
      <c r="B95" s="6" t="inlineStr">
        <is>
          <t>ACC-0057</t>
        </is>
      </c>
      <c r="C95" s="6" t="inlineStr">
        <is>
          <t>Merchant Payment</t>
        </is>
      </c>
      <c r="D95" s="6" t="n">
        <v>12819</v>
      </c>
      <c r="E95" s="6" t="n">
        <v>11</v>
      </c>
      <c r="F95" s="6" t="n">
        <v>0</v>
      </c>
      <c r="G95" s="6" t="n">
        <v>1</v>
      </c>
      <c r="H95" s="6" t="n">
        <v>0</v>
      </c>
      <c r="I95" s="6" t="n">
        <v>0</v>
      </c>
      <c r="J95" s="6" t="n">
        <v>0</v>
      </c>
      <c r="P95" s="7">
        <f>(D95-VLOOKUP(B95,$L$2:$N$61,2,FALSE))/VLOOKUP(B95,$L$2:$N$61,3,FALSE)</f>
        <v/>
      </c>
      <c r="Q95" s="6">
        <f>IF(P95&gt;2.5,1,0)</f>
        <v/>
      </c>
      <c r="R95" s="6">
        <f>IF(G95&gt;4,1,0)</f>
        <v/>
      </c>
      <c r="S95" s="6">
        <f>IF(AND(F95=1,P95&gt;0.5),1,0)</f>
        <v/>
      </c>
      <c r="T95" s="6">
        <f>IF(AND(OR(E95&gt;=23,E95&lt;=5),P95&gt;0),1,0)</f>
        <v/>
      </c>
      <c r="U95" s="6">
        <f>IF(H95=1,1,0)</f>
        <v/>
      </c>
      <c r="V95" s="6">
        <f>IF(I95&gt;=3,1,0)</f>
        <v/>
      </c>
      <c r="W95" s="6">
        <f>Q95*20+R95*15+S95*30+T95*15+U95*25+V95*20</f>
        <v/>
      </c>
      <c r="X95" s="6">
        <f>IF(W95&gt;=40,"REVIEW","OK")</f>
        <v/>
      </c>
    </row>
    <row r="96">
      <c r="A96" s="6" t="inlineStr">
        <is>
          <t>TXN-00095</t>
        </is>
      </c>
      <c r="B96" s="6" t="inlineStr">
        <is>
          <t>ACC-0039</t>
        </is>
      </c>
      <c r="C96" s="6" t="inlineStr">
        <is>
          <t>Airtime Top-up</t>
        </is>
      </c>
      <c r="D96" s="6" t="n">
        <v>8383</v>
      </c>
      <c r="E96" s="6" t="n">
        <v>23</v>
      </c>
      <c r="F96" s="6" t="n">
        <v>0</v>
      </c>
      <c r="G96" s="6" t="n">
        <v>1</v>
      </c>
      <c r="H96" s="6" t="n">
        <v>1</v>
      </c>
      <c r="I96" s="6" t="n">
        <v>0</v>
      </c>
      <c r="J96" s="6" t="n">
        <v>0</v>
      </c>
      <c r="P96" s="7">
        <f>(D96-VLOOKUP(B96,$L$2:$N$61,2,FALSE))/VLOOKUP(B96,$L$2:$N$61,3,FALSE)</f>
        <v/>
      </c>
      <c r="Q96" s="6">
        <f>IF(P96&gt;2.5,1,0)</f>
        <v/>
      </c>
      <c r="R96" s="6">
        <f>IF(G96&gt;4,1,0)</f>
        <v/>
      </c>
      <c r="S96" s="6">
        <f>IF(AND(F96=1,P96&gt;0.5),1,0)</f>
        <v/>
      </c>
      <c r="T96" s="6">
        <f>IF(AND(OR(E96&gt;=23,E96&lt;=5),P96&gt;0),1,0)</f>
        <v/>
      </c>
      <c r="U96" s="6">
        <f>IF(H96=1,1,0)</f>
        <v/>
      </c>
      <c r="V96" s="6">
        <f>IF(I96&gt;=3,1,0)</f>
        <v/>
      </c>
      <c r="W96" s="6">
        <f>Q96*20+R96*15+S96*30+T96*15+U96*25+V96*20</f>
        <v/>
      </c>
      <c r="X96" s="6">
        <f>IF(W96&gt;=40,"REVIEW","OK")</f>
        <v/>
      </c>
    </row>
    <row r="97">
      <c r="A97" s="6" t="inlineStr">
        <is>
          <t>TXN-00096</t>
        </is>
      </c>
      <c r="B97" s="6" t="inlineStr">
        <is>
          <t>ACC-0018</t>
        </is>
      </c>
      <c r="C97" s="6" t="inlineStr">
        <is>
          <t>Merchant Payment</t>
        </is>
      </c>
      <c r="D97" s="6" t="n">
        <v>5384</v>
      </c>
      <c r="E97" s="6" t="n">
        <v>14</v>
      </c>
      <c r="F97" s="6" t="n">
        <v>0</v>
      </c>
      <c r="G97" s="6" t="n">
        <v>1</v>
      </c>
      <c r="H97" s="6" t="n">
        <v>0</v>
      </c>
      <c r="I97" s="6" t="n">
        <v>0</v>
      </c>
      <c r="J97" s="6" t="n">
        <v>0</v>
      </c>
      <c r="P97" s="7">
        <f>(D97-VLOOKUP(B97,$L$2:$N$61,2,FALSE))/VLOOKUP(B97,$L$2:$N$61,3,FALSE)</f>
        <v/>
      </c>
      <c r="Q97" s="6">
        <f>IF(P97&gt;2.5,1,0)</f>
        <v/>
      </c>
      <c r="R97" s="6">
        <f>IF(G97&gt;4,1,0)</f>
        <v/>
      </c>
      <c r="S97" s="6">
        <f>IF(AND(F97=1,P97&gt;0.5),1,0)</f>
        <v/>
      </c>
      <c r="T97" s="6">
        <f>IF(AND(OR(E97&gt;=23,E97&lt;=5),P97&gt;0),1,0)</f>
        <v/>
      </c>
      <c r="U97" s="6">
        <f>IF(H97=1,1,0)</f>
        <v/>
      </c>
      <c r="V97" s="6">
        <f>IF(I97&gt;=3,1,0)</f>
        <v/>
      </c>
      <c r="W97" s="6">
        <f>Q97*20+R97*15+S97*30+T97*15+U97*25+V97*20</f>
        <v/>
      </c>
      <c r="X97" s="6">
        <f>IF(W97&gt;=40,"REVIEW","OK")</f>
        <v/>
      </c>
    </row>
    <row r="98">
      <c r="A98" s="6" t="inlineStr">
        <is>
          <t>TXN-00097</t>
        </is>
      </c>
      <c r="B98" s="6" t="inlineStr">
        <is>
          <t>ACC-0054</t>
        </is>
      </c>
      <c r="C98" s="6" t="inlineStr">
        <is>
          <t>Merchant Payment</t>
        </is>
      </c>
      <c r="D98" s="6" t="n">
        <v>10175</v>
      </c>
      <c r="E98" s="6" t="n">
        <v>8</v>
      </c>
      <c r="F98" s="6" t="n">
        <v>0</v>
      </c>
      <c r="G98" s="6" t="n">
        <v>4</v>
      </c>
      <c r="H98" s="6" t="n">
        <v>0</v>
      </c>
      <c r="I98" s="6" t="n">
        <v>0</v>
      </c>
      <c r="J98" s="6" t="n">
        <v>0</v>
      </c>
      <c r="P98" s="7">
        <f>(D98-VLOOKUP(B98,$L$2:$N$61,2,FALSE))/VLOOKUP(B98,$L$2:$N$61,3,FALSE)</f>
        <v/>
      </c>
      <c r="Q98" s="6">
        <f>IF(P98&gt;2.5,1,0)</f>
        <v/>
      </c>
      <c r="R98" s="6">
        <f>IF(G98&gt;4,1,0)</f>
        <v/>
      </c>
      <c r="S98" s="6">
        <f>IF(AND(F98=1,P98&gt;0.5),1,0)</f>
        <v/>
      </c>
      <c r="T98" s="6">
        <f>IF(AND(OR(E98&gt;=23,E98&lt;=5),P98&gt;0),1,0)</f>
        <v/>
      </c>
      <c r="U98" s="6">
        <f>IF(H98=1,1,0)</f>
        <v/>
      </c>
      <c r="V98" s="6">
        <f>IF(I98&gt;=3,1,0)</f>
        <v/>
      </c>
      <c r="W98" s="6">
        <f>Q98*20+R98*15+S98*30+T98*15+U98*25+V98*20</f>
        <v/>
      </c>
      <c r="X98" s="6">
        <f>IF(W98&gt;=40,"REVIEW","OK")</f>
        <v/>
      </c>
    </row>
    <row r="99">
      <c r="A99" s="6" t="inlineStr">
        <is>
          <t>TXN-00098</t>
        </is>
      </c>
      <c r="B99" s="6" t="inlineStr">
        <is>
          <t>ACC-0013</t>
        </is>
      </c>
      <c r="C99" s="6" t="inlineStr">
        <is>
          <t>P2P Transfer</t>
        </is>
      </c>
      <c r="D99" s="6" t="n">
        <v>1491</v>
      </c>
      <c r="E99" s="6" t="n">
        <v>8</v>
      </c>
      <c r="F99" s="6" t="n">
        <v>0</v>
      </c>
      <c r="G99" s="6" t="n">
        <v>1</v>
      </c>
      <c r="H99" s="6" t="n">
        <v>0</v>
      </c>
      <c r="I99" s="6" t="n">
        <v>0</v>
      </c>
      <c r="J99" s="6" t="n">
        <v>0</v>
      </c>
      <c r="P99" s="7">
        <f>(D99-VLOOKUP(B99,$L$2:$N$61,2,FALSE))/VLOOKUP(B99,$L$2:$N$61,3,FALSE)</f>
        <v/>
      </c>
      <c r="Q99" s="6">
        <f>IF(P99&gt;2.5,1,0)</f>
        <v/>
      </c>
      <c r="R99" s="6">
        <f>IF(G99&gt;4,1,0)</f>
        <v/>
      </c>
      <c r="S99" s="6">
        <f>IF(AND(F99=1,P99&gt;0.5),1,0)</f>
        <v/>
      </c>
      <c r="T99" s="6">
        <f>IF(AND(OR(E99&gt;=23,E99&lt;=5),P99&gt;0),1,0)</f>
        <v/>
      </c>
      <c r="U99" s="6">
        <f>IF(H99=1,1,0)</f>
        <v/>
      </c>
      <c r="V99" s="6">
        <f>IF(I99&gt;=3,1,0)</f>
        <v/>
      </c>
      <c r="W99" s="6">
        <f>Q99*20+R99*15+S99*30+T99*15+U99*25+V99*20</f>
        <v/>
      </c>
      <c r="X99" s="6">
        <f>IF(W99&gt;=40,"REVIEW","OK")</f>
        <v/>
      </c>
    </row>
    <row r="100">
      <c r="A100" s="6" t="inlineStr">
        <is>
          <t>TXN-00099</t>
        </is>
      </c>
      <c r="B100" s="6" t="inlineStr">
        <is>
          <t>ACC-0042</t>
        </is>
      </c>
      <c r="C100" s="6" t="inlineStr">
        <is>
          <t>P2P Transfer</t>
        </is>
      </c>
      <c r="D100" s="6" t="n">
        <v>17880</v>
      </c>
      <c r="E100" s="6" t="n">
        <v>21</v>
      </c>
      <c r="F100" s="6" t="n">
        <v>0</v>
      </c>
      <c r="G100" s="6" t="n">
        <v>1</v>
      </c>
      <c r="H100" s="6" t="n">
        <v>0</v>
      </c>
      <c r="I100" s="6" t="n">
        <v>0</v>
      </c>
      <c r="J100" s="6" t="n">
        <v>0</v>
      </c>
      <c r="P100" s="7">
        <f>(D100-VLOOKUP(B100,$L$2:$N$61,2,FALSE))/VLOOKUP(B100,$L$2:$N$61,3,FALSE)</f>
        <v/>
      </c>
      <c r="Q100" s="6">
        <f>IF(P100&gt;2.5,1,0)</f>
        <v/>
      </c>
      <c r="R100" s="6">
        <f>IF(G100&gt;4,1,0)</f>
        <v/>
      </c>
      <c r="S100" s="6">
        <f>IF(AND(F100=1,P100&gt;0.5),1,0)</f>
        <v/>
      </c>
      <c r="T100" s="6">
        <f>IF(AND(OR(E100&gt;=23,E100&lt;=5),P100&gt;0),1,0)</f>
        <v/>
      </c>
      <c r="U100" s="6">
        <f>IF(H100=1,1,0)</f>
        <v/>
      </c>
      <c r="V100" s="6">
        <f>IF(I100&gt;=3,1,0)</f>
        <v/>
      </c>
      <c r="W100" s="6">
        <f>Q100*20+R100*15+S100*30+T100*15+U100*25+V100*20</f>
        <v/>
      </c>
      <c r="X100" s="6">
        <f>IF(W100&gt;=40,"REVIEW","OK")</f>
        <v/>
      </c>
    </row>
    <row r="101">
      <c r="A101" s="6" t="inlineStr">
        <is>
          <t>TXN-00100</t>
        </is>
      </c>
      <c r="B101" s="6" t="inlineStr">
        <is>
          <t>ACC-0046</t>
        </is>
      </c>
      <c r="C101" s="6" t="inlineStr">
        <is>
          <t>Merchant Payment</t>
        </is>
      </c>
      <c r="D101" s="6" t="n">
        <v>21593</v>
      </c>
      <c r="E101" s="6" t="n">
        <v>14</v>
      </c>
      <c r="F101" s="6" t="n">
        <v>0</v>
      </c>
      <c r="G101" s="6" t="n">
        <v>2</v>
      </c>
      <c r="H101" s="6" t="n">
        <v>0</v>
      </c>
      <c r="I101" s="6" t="n">
        <v>0</v>
      </c>
      <c r="J101" s="6" t="n">
        <v>0</v>
      </c>
      <c r="P101" s="7">
        <f>(D101-VLOOKUP(B101,$L$2:$N$61,2,FALSE))/VLOOKUP(B101,$L$2:$N$61,3,FALSE)</f>
        <v/>
      </c>
      <c r="Q101" s="6">
        <f>IF(P101&gt;2.5,1,0)</f>
        <v/>
      </c>
      <c r="R101" s="6">
        <f>IF(G101&gt;4,1,0)</f>
        <v/>
      </c>
      <c r="S101" s="6">
        <f>IF(AND(F101=1,P101&gt;0.5),1,0)</f>
        <v/>
      </c>
      <c r="T101" s="6">
        <f>IF(AND(OR(E101&gt;=23,E101&lt;=5),P101&gt;0),1,0)</f>
        <v/>
      </c>
      <c r="U101" s="6">
        <f>IF(H101=1,1,0)</f>
        <v/>
      </c>
      <c r="V101" s="6">
        <f>IF(I101&gt;=3,1,0)</f>
        <v/>
      </c>
      <c r="W101" s="6">
        <f>Q101*20+R101*15+S101*30+T101*15+U101*25+V101*20</f>
        <v/>
      </c>
      <c r="X101" s="6">
        <f>IF(W101&gt;=40,"REVIEW","OK")</f>
        <v/>
      </c>
    </row>
    <row r="102">
      <c r="A102" s="6" t="inlineStr">
        <is>
          <t>TXN-00101</t>
        </is>
      </c>
      <c r="B102" s="6" t="inlineStr">
        <is>
          <t>ACC-0006</t>
        </is>
      </c>
      <c r="C102" s="6" t="inlineStr">
        <is>
          <t>P2P Transfer</t>
        </is>
      </c>
      <c r="D102" s="6" t="n">
        <v>13035</v>
      </c>
      <c r="E102" s="6" t="n">
        <v>15</v>
      </c>
      <c r="F102" s="6" t="n">
        <v>1</v>
      </c>
      <c r="G102" s="6" t="n">
        <v>5</v>
      </c>
      <c r="H102" s="6" t="n">
        <v>0</v>
      </c>
      <c r="I102" s="6" t="n">
        <v>0</v>
      </c>
      <c r="J102" s="6" t="n">
        <v>0</v>
      </c>
      <c r="P102" s="7">
        <f>(D102-VLOOKUP(B102,$L$2:$N$61,2,FALSE))/VLOOKUP(B102,$L$2:$N$61,3,FALSE)</f>
        <v/>
      </c>
      <c r="Q102" s="6">
        <f>IF(P102&gt;2.5,1,0)</f>
        <v/>
      </c>
      <c r="R102" s="6">
        <f>IF(G102&gt;4,1,0)</f>
        <v/>
      </c>
      <c r="S102" s="6">
        <f>IF(AND(F102=1,P102&gt;0.5),1,0)</f>
        <v/>
      </c>
      <c r="T102" s="6">
        <f>IF(AND(OR(E102&gt;=23,E102&lt;=5),P102&gt;0),1,0)</f>
        <v/>
      </c>
      <c r="U102" s="6">
        <f>IF(H102=1,1,0)</f>
        <v/>
      </c>
      <c r="V102" s="6">
        <f>IF(I102&gt;=3,1,0)</f>
        <v/>
      </c>
      <c r="W102" s="6">
        <f>Q102*20+R102*15+S102*30+T102*15+U102*25+V102*20</f>
        <v/>
      </c>
      <c r="X102" s="6">
        <f>IF(W102&gt;=40,"REVIEW","OK")</f>
        <v/>
      </c>
    </row>
    <row r="103">
      <c r="A103" s="6" t="inlineStr">
        <is>
          <t>TXN-00102</t>
        </is>
      </c>
      <c r="B103" s="6" t="inlineStr">
        <is>
          <t>ACC-0020</t>
        </is>
      </c>
      <c r="C103" s="6" t="inlineStr">
        <is>
          <t>Cash Withdrawal (Agent)</t>
        </is>
      </c>
      <c r="D103" s="6" t="n">
        <v>3871</v>
      </c>
      <c r="E103" s="6" t="n">
        <v>10</v>
      </c>
      <c r="F103" s="6" t="n">
        <v>0</v>
      </c>
      <c r="G103" s="6" t="n">
        <v>1</v>
      </c>
      <c r="H103" s="6" t="n">
        <v>0</v>
      </c>
      <c r="I103" s="6" t="n">
        <v>1</v>
      </c>
      <c r="J103" s="6" t="n">
        <v>0</v>
      </c>
      <c r="P103" s="7">
        <f>(D103-VLOOKUP(B103,$L$2:$N$61,2,FALSE))/VLOOKUP(B103,$L$2:$N$61,3,FALSE)</f>
        <v/>
      </c>
      <c r="Q103" s="6">
        <f>IF(P103&gt;2.5,1,0)</f>
        <v/>
      </c>
      <c r="R103" s="6">
        <f>IF(G103&gt;4,1,0)</f>
        <v/>
      </c>
      <c r="S103" s="6">
        <f>IF(AND(F103=1,P103&gt;0.5),1,0)</f>
        <v/>
      </c>
      <c r="T103" s="6">
        <f>IF(AND(OR(E103&gt;=23,E103&lt;=5),P103&gt;0),1,0)</f>
        <v/>
      </c>
      <c r="U103" s="6">
        <f>IF(H103=1,1,0)</f>
        <v/>
      </c>
      <c r="V103" s="6">
        <f>IF(I103&gt;=3,1,0)</f>
        <v/>
      </c>
      <c r="W103" s="6">
        <f>Q103*20+R103*15+S103*30+T103*15+U103*25+V103*20</f>
        <v/>
      </c>
      <c r="X103" s="6">
        <f>IF(W103&gt;=40,"REVIEW","OK")</f>
        <v/>
      </c>
    </row>
    <row r="104">
      <c r="A104" s="6" t="inlineStr">
        <is>
          <t>TXN-00103</t>
        </is>
      </c>
      <c r="B104" s="6" t="inlineStr">
        <is>
          <t>ACC-0044</t>
        </is>
      </c>
      <c r="C104" s="6" t="inlineStr">
        <is>
          <t>Bill Payment</t>
        </is>
      </c>
      <c r="D104" s="6" t="n">
        <v>7967</v>
      </c>
      <c r="E104" s="6" t="n">
        <v>2</v>
      </c>
      <c r="F104" s="6" t="n">
        <v>1</v>
      </c>
      <c r="G104" s="6" t="n">
        <v>1</v>
      </c>
      <c r="H104" s="6" t="n">
        <v>0</v>
      </c>
      <c r="I104" s="6" t="n">
        <v>0</v>
      </c>
      <c r="J104" s="6" t="n">
        <v>1</v>
      </c>
      <c r="P104" s="7">
        <f>(D104-VLOOKUP(B104,$L$2:$N$61,2,FALSE))/VLOOKUP(B104,$L$2:$N$61,3,FALSE)</f>
        <v/>
      </c>
      <c r="Q104" s="6">
        <f>IF(P104&gt;2.5,1,0)</f>
        <v/>
      </c>
      <c r="R104" s="6">
        <f>IF(G104&gt;4,1,0)</f>
        <v/>
      </c>
      <c r="S104" s="6">
        <f>IF(AND(F104=1,P104&gt;0.5),1,0)</f>
        <v/>
      </c>
      <c r="T104" s="6">
        <f>IF(AND(OR(E104&gt;=23,E104&lt;=5),P104&gt;0),1,0)</f>
        <v/>
      </c>
      <c r="U104" s="6">
        <f>IF(H104=1,1,0)</f>
        <v/>
      </c>
      <c r="V104" s="6">
        <f>IF(I104&gt;=3,1,0)</f>
        <v/>
      </c>
      <c r="W104" s="6">
        <f>Q104*20+R104*15+S104*30+T104*15+U104*25+V104*20</f>
        <v/>
      </c>
      <c r="X104" s="6">
        <f>IF(W104&gt;=40,"REVIEW","OK")</f>
        <v/>
      </c>
    </row>
    <row r="105">
      <c r="A105" s="6" t="inlineStr">
        <is>
          <t>TXN-00104</t>
        </is>
      </c>
      <c r="B105" s="6" t="inlineStr">
        <is>
          <t>ACC-0047</t>
        </is>
      </c>
      <c r="C105" s="6" t="inlineStr">
        <is>
          <t>Bill Payment</t>
        </is>
      </c>
      <c r="D105" s="6" t="n">
        <v>9667</v>
      </c>
      <c r="E105" s="6" t="n">
        <v>0</v>
      </c>
      <c r="F105" s="6" t="n">
        <v>0</v>
      </c>
      <c r="G105" s="6" t="n">
        <v>2</v>
      </c>
      <c r="H105" s="6" t="n">
        <v>0</v>
      </c>
      <c r="I105" s="6" t="n">
        <v>1</v>
      </c>
      <c r="J105" s="6" t="n">
        <v>0</v>
      </c>
      <c r="P105" s="7">
        <f>(D105-VLOOKUP(B105,$L$2:$N$61,2,FALSE))/VLOOKUP(B105,$L$2:$N$61,3,FALSE)</f>
        <v/>
      </c>
      <c r="Q105" s="6">
        <f>IF(P105&gt;2.5,1,0)</f>
        <v/>
      </c>
      <c r="R105" s="6">
        <f>IF(G105&gt;4,1,0)</f>
        <v/>
      </c>
      <c r="S105" s="6">
        <f>IF(AND(F105=1,P105&gt;0.5),1,0)</f>
        <v/>
      </c>
      <c r="T105" s="6">
        <f>IF(AND(OR(E105&gt;=23,E105&lt;=5),P105&gt;0),1,0)</f>
        <v/>
      </c>
      <c r="U105" s="6">
        <f>IF(H105=1,1,0)</f>
        <v/>
      </c>
      <c r="V105" s="6">
        <f>IF(I105&gt;=3,1,0)</f>
        <v/>
      </c>
      <c r="W105" s="6">
        <f>Q105*20+R105*15+S105*30+T105*15+U105*25+V105*20</f>
        <v/>
      </c>
      <c r="X105" s="6">
        <f>IF(W105&gt;=40,"REVIEW","OK")</f>
        <v/>
      </c>
    </row>
    <row r="106">
      <c r="A106" s="6" t="inlineStr">
        <is>
          <t>TXN-00105</t>
        </is>
      </c>
      <c r="B106" s="6" t="inlineStr">
        <is>
          <t>ACC-0026</t>
        </is>
      </c>
      <c r="C106" s="6" t="inlineStr">
        <is>
          <t>Bill Payment</t>
        </is>
      </c>
      <c r="D106" s="6" t="n">
        <v>8672</v>
      </c>
      <c r="E106" s="6" t="n">
        <v>5</v>
      </c>
      <c r="F106" s="6" t="n">
        <v>0</v>
      </c>
      <c r="G106" s="6" t="n">
        <v>2</v>
      </c>
      <c r="H106" s="6" t="n">
        <v>0</v>
      </c>
      <c r="I106" s="6" t="n">
        <v>0</v>
      </c>
      <c r="J106" s="6" t="n">
        <v>0</v>
      </c>
      <c r="P106" s="7">
        <f>(D106-VLOOKUP(B106,$L$2:$N$61,2,FALSE))/VLOOKUP(B106,$L$2:$N$61,3,FALSE)</f>
        <v/>
      </c>
      <c r="Q106" s="6">
        <f>IF(P106&gt;2.5,1,0)</f>
        <v/>
      </c>
      <c r="R106" s="6">
        <f>IF(G106&gt;4,1,0)</f>
        <v/>
      </c>
      <c r="S106" s="6">
        <f>IF(AND(F106=1,P106&gt;0.5),1,0)</f>
        <v/>
      </c>
      <c r="T106" s="6">
        <f>IF(AND(OR(E106&gt;=23,E106&lt;=5),P106&gt;0),1,0)</f>
        <v/>
      </c>
      <c r="U106" s="6">
        <f>IF(H106=1,1,0)</f>
        <v/>
      </c>
      <c r="V106" s="6">
        <f>IF(I106&gt;=3,1,0)</f>
        <v/>
      </c>
      <c r="W106" s="6">
        <f>Q106*20+R106*15+S106*30+T106*15+U106*25+V106*20</f>
        <v/>
      </c>
      <c r="X106" s="6">
        <f>IF(W106&gt;=40,"REVIEW","OK")</f>
        <v/>
      </c>
    </row>
    <row r="107">
      <c r="A107" s="6" t="inlineStr">
        <is>
          <t>TXN-00106</t>
        </is>
      </c>
      <c r="B107" s="6" t="inlineStr">
        <is>
          <t>ACC-0058</t>
        </is>
      </c>
      <c r="C107" s="6" t="inlineStr">
        <is>
          <t>Bill Payment</t>
        </is>
      </c>
      <c r="D107" s="6" t="n">
        <v>10357</v>
      </c>
      <c r="E107" s="6" t="n">
        <v>22</v>
      </c>
      <c r="F107" s="6" t="n">
        <v>0</v>
      </c>
      <c r="G107" s="6" t="n">
        <v>6</v>
      </c>
      <c r="H107" s="6" t="n">
        <v>0</v>
      </c>
      <c r="I107" s="6" t="n">
        <v>0</v>
      </c>
      <c r="J107" s="6" t="n">
        <v>0</v>
      </c>
      <c r="P107" s="7">
        <f>(D107-VLOOKUP(B107,$L$2:$N$61,2,FALSE))/VLOOKUP(B107,$L$2:$N$61,3,FALSE)</f>
        <v/>
      </c>
      <c r="Q107" s="6">
        <f>IF(P107&gt;2.5,1,0)</f>
        <v/>
      </c>
      <c r="R107" s="6">
        <f>IF(G107&gt;4,1,0)</f>
        <v/>
      </c>
      <c r="S107" s="6">
        <f>IF(AND(F107=1,P107&gt;0.5),1,0)</f>
        <v/>
      </c>
      <c r="T107" s="6">
        <f>IF(AND(OR(E107&gt;=23,E107&lt;=5),P107&gt;0),1,0)</f>
        <v/>
      </c>
      <c r="U107" s="6">
        <f>IF(H107=1,1,0)</f>
        <v/>
      </c>
      <c r="V107" s="6">
        <f>IF(I107&gt;=3,1,0)</f>
        <v/>
      </c>
      <c r="W107" s="6">
        <f>Q107*20+R107*15+S107*30+T107*15+U107*25+V107*20</f>
        <v/>
      </c>
      <c r="X107" s="6">
        <f>IF(W107&gt;=40,"REVIEW","OK")</f>
        <v/>
      </c>
    </row>
    <row r="108">
      <c r="A108" s="6" t="inlineStr">
        <is>
          <t>TXN-00107</t>
        </is>
      </c>
      <c r="B108" s="6" t="inlineStr">
        <is>
          <t>ACC-0034</t>
        </is>
      </c>
      <c r="C108" s="6" t="inlineStr">
        <is>
          <t>P2P Transfer</t>
        </is>
      </c>
      <c r="D108" s="6" t="n">
        <v>10911</v>
      </c>
      <c r="E108" s="6" t="n">
        <v>21</v>
      </c>
      <c r="F108" s="6" t="n">
        <v>0</v>
      </c>
      <c r="G108" s="6" t="n">
        <v>1</v>
      </c>
      <c r="H108" s="6" t="n">
        <v>0</v>
      </c>
      <c r="I108" s="6" t="n">
        <v>2</v>
      </c>
      <c r="J108" s="6" t="n">
        <v>0</v>
      </c>
      <c r="P108" s="7">
        <f>(D108-VLOOKUP(B108,$L$2:$N$61,2,FALSE))/VLOOKUP(B108,$L$2:$N$61,3,FALSE)</f>
        <v/>
      </c>
      <c r="Q108" s="6">
        <f>IF(P108&gt;2.5,1,0)</f>
        <v/>
      </c>
      <c r="R108" s="6">
        <f>IF(G108&gt;4,1,0)</f>
        <v/>
      </c>
      <c r="S108" s="6">
        <f>IF(AND(F108=1,P108&gt;0.5),1,0)</f>
        <v/>
      </c>
      <c r="T108" s="6">
        <f>IF(AND(OR(E108&gt;=23,E108&lt;=5),P108&gt;0),1,0)</f>
        <v/>
      </c>
      <c r="U108" s="6">
        <f>IF(H108=1,1,0)</f>
        <v/>
      </c>
      <c r="V108" s="6">
        <f>IF(I108&gt;=3,1,0)</f>
        <v/>
      </c>
      <c r="W108" s="6">
        <f>Q108*20+R108*15+S108*30+T108*15+U108*25+V108*20</f>
        <v/>
      </c>
      <c r="X108" s="6">
        <f>IF(W108&gt;=40,"REVIEW","OK")</f>
        <v/>
      </c>
    </row>
    <row r="109">
      <c r="A109" s="6" t="inlineStr">
        <is>
          <t>TXN-00108</t>
        </is>
      </c>
      <c r="B109" s="6" t="inlineStr">
        <is>
          <t>ACC-0009</t>
        </is>
      </c>
      <c r="C109" s="6" t="inlineStr">
        <is>
          <t>Airtime Top-up</t>
        </is>
      </c>
      <c r="D109" s="6" t="n">
        <v>2311</v>
      </c>
      <c r="E109" s="6" t="n">
        <v>13</v>
      </c>
      <c r="F109" s="6" t="n">
        <v>0</v>
      </c>
      <c r="G109" s="6" t="n">
        <v>4</v>
      </c>
      <c r="H109" s="6" t="n">
        <v>0</v>
      </c>
      <c r="I109" s="6" t="n">
        <v>0</v>
      </c>
      <c r="J109" s="6" t="n">
        <v>0</v>
      </c>
      <c r="P109" s="7">
        <f>(D109-VLOOKUP(B109,$L$2:$N$61,2,FALSE))/VLOOKUP(B109,$L$2:$N$61,3,FALSE)</f>
        <v/>
      </c>
      <c r="Q109" s="6">
        <f>IF(P109&gt;2.5,1,0)</f>
        <v/>
      </c>
      <c r="R109" s="6">
        <f>IF(G109&gt;4,1,0)</f>
        <v/>
      </c>
      <c r="S109" s="6">
        <f>IF(AND(F109=1,P109&gt;0.5),1,0)</f>
        <v/>
      </c>
      <c r="T109" s="6">
        <f>IF(AND(OR(E109&gt;=23,E109&lt;=5),P109&gt;0),1,0)</f>
        <v/>
      </c>
      <c r="U109" s="6">
        <f>IF(H109=1,1,0)</f>
        <v/>
      </c>
      <c r="V109" s="6">
        <f>IF(I109&gt;=3,1,0)</f>
        <v/>
      </c>
      <c r="W109" s="6">
        <f>Q109*20+R109*15+S109*30+T109*15+U109*25+V109*20</f>
        <v/>
      </c>
      <c r="X109" s="6">
        <f>IF(W109&gt;=40,"REVIEW","OK")</f>
        <v/>
      </c>
    </row>
    <row r="110">
      <c r="A110" s="6" t="inlineStr">
        <is>
          <t>TXN-00109</t>
        </is>
      </c>
      <c r="B110" s="6" t="inlineStr">
        <is>
          <t>ACC-0057</t>
        </is>
      </c>
      <c r="C110" s="6" t="inlineStr">
        <is>
          <t>P2P Transfer</t>
        </is>
      </c>
      <c r="D110" s="6" t="n">
        <v>17708</v>
      </c>
      <c r="E110" s="6" t="n">
        <v>13</v>
      </c>
      <c r="F110" s="6" t="n">
        <v>0</v>
      </c>
      <c r="G110" s="6" t="n">
        <v>5</v>
      </c>
      <c r="H110" s="6" t="n">
        <v>0</v>
      </c>
      <c r="I110" s="6" t="n">
        <v>0</v>
      </c>
      <c r="J110" s="6" t="n">
        <v>0</v>
      </c>
      <c r="P110" s="7">
        <f>(D110-VLOOKUP(B110,$L$2:$N$61,2,FALSE))/VLOOKUP(B110,$L$2:$N$61,3,FALSE)</f>
        <v/>
      </c>
      <c r="Q110" s="6">
        <f>IF(P110&gt;2.5,1,0)</f>
        <v/>
      </c>
      <c r="R110" s="6">
        <f>IF(G110&gt;4,1,0)</f>
        <v/>
      </c>
      <c r="S110" s="6">
        <f>IF(AND(F110=1,P110&gt;0.5),1,0)</f>
        <v/>
      </c>
      <c r="T110" s="6">
        <f>IF(AND(OR(E110&gt;=23,E110&lt;=5),P110&gt;0),1,0)</f>
        <v/>
      </c>
      <c r="U110" s="6">
        <f>IF(H110=1,1,0)</f>
        <v/>
      </c>
      <c r="V110" s="6">
        <f>IF(I110&gt;=3,1,0)</f>
        <v/>
      </c>
      <c r="W110" s="6">
        <f>Q110*20+R110*15+S110*30+T110*15+U110*25+V110*20</f>
        <v/>
      </c>
      <c r="X110" s="6">
        <f>IF(W110&gt;=40,"REVIEW","OK")</f>
        <v/>
      </c>
    </row>
    <row r="111">
      <c r="A111" s="6" t="inlineStr">
        <is>
          <t>TXN-00110</t>
        </is>
      </c>
      <c r="B111" s="6" t="inlineStr">
        <is>
          <t>ACC-0039</t>
        </is>
      </c>
      <c r="C111" s="6" t="inlineStr">
        <is>
          <t>P2P Transfer</t>
        </is>
      </c>
      <c r="D111" s="6" t="n">
        <v>10400</v>
      </c>
      <c r="E111" s="6" t="n">
        <v>17</v>
      </c>
      <c r="F111" s="6" t="n">
        <v>0</v>
      </c>
      <c r="G111" s="6" t="n">
        <v>3</v>
      </c>
      <c r="H111" s="6" t="n">
        <v>0</v>
      </c>
      <c r="I111" s="6" t="n">
        <v>0</v>
      </c>
      <c r="J111" s="6" t="n">
        <v>0</v>
      </c>
      <c r="P111" s="7">
        <f>(D111-VLOOKUP(B111,$L$2:$N$61,2,FALSE))/VLOOKUP(B111,$L$2:$N$61,3,FALSE)</f>
        <v/>
      </c>
      <c r="Q111" s="6">
        <f>IF(P111&gt;2.5,1,0)</f>
        <v/>
      </c>
      <c r="R111" s="6">
        <f>IF(G111&gt;4,1,0)</f>
        <v/>
      </c>
      <c r="S111" s="6">
        <f>IF(AND(F111=1,P111&gt;0.5),1,0)</f>
        <v/>
      </c>
      <c r="T111" s="6">
        <f>IF(AND(OR(E111&gt;=23,E111&lt;=5),P111&gt;0),1,0)</f>
        <v/>
      </c>
      <c r="U111" s="6">
        <f>IF(H111=1,1,0)</f>
        <v/>
      </c>
      <c r="V111" s="6">
        <f>IF(I111&gt;=3,1,0)</f>
        <v/>
      </c>
      <c r="W111" s="6">
        <f>Q111*20+R111*15+S111*30+T111*15+U111*25+V111*20</f>
        <v/>
      </c>
      <c r="X111" s="6">
        <f>IF(W111&gt;=40,"REVIEW","OK")</f>
        <v/>
      </c>
    </row>
    <row r="112">
      <c r="A112" s="6" t="inlineStr">
        <is>
          <t>TXN-00111</t>
        </is>
      </c>
      <c r="B112" s="6" t="inlineStr">
        <is>
          <t>ACC-0004</t>
        </is>
      </c>
      <c r="C112" s="6" t="inlineStr">
        <is>
          <t>Merchant Payment</t>
        </is>
      </c>
      <c r="D112" s="6" t="n">
        <v>3718</v>
      </c>
      <c r="E112" s="6" t="n">
        <v>13</v>
      </c>
      <c r="F112" s="6" t="n">
        <v>0</v>
      </c>
      <c r="G112" s="6" t="n">
        <v>2</v>
      </c>
      <c r="H112" s="6" t="n">
        <v>0</v>
      </c>
      <c r="I112" s="6" t="n">
        <v>0</v>
      </c>
      <c r="J112" s="6" t="n">
        <v>0</v>
      </c>
      <c r="P112" s="7">
        <f>(D112-VLOOKUP(B112,$L$2:$N$61,2,FALSE))/VLOOKUP(B112,$L$2:$N$61,3,FALSE)</f>
        <v/>
      </c>
      <c r="Q112" s="6">
        <f>IF(P112&gt;2.5,1,0)</f>
        <v/>
      </c>
      <c r="R112" s="6">
        <f>IF(G112&gt;4,1,0)</f>
        <v/>
      </c>
      <c r="S112" s="6">
        <f>IF(AND(F112=1,P112&gt;0.5),1,0)</f>
        <v/>
      </c>
      <c r="T112" s="6">
        <f>IF(AND(OR(E112&gt;=23,E112&lt;=5),P112&gt;0),1,0)</f>
        <v/>
      </c>
      <c r="U112" s="6">
        <f>IF(H112=1,1,0)</f>
        <v/>
      </c>
      <c r="V112" s="6">
        <f>IF(I112&gt;=3,1,0)</f>
        <v/>
      </c>
      <c r="W112" s="6">
        <f>Q112*20+R112*15+S112*30+T112*15+U112*25+V112*20</f>
        <v/>
      </c>
      <c r="X112" s="6">
        <f>IF(W112&gt;=40,"REVIEW","OK")</f>
        <v/>
      </c>
    </row>
    <row r="113">
      <c r="A113" s="6" t="inlineStr">
        <is>
          <t>TXN-00112</t>
        </is>
      </c>
      <c r="B113" s="6" t="inlineStr">
        <is>
          <t>ACC-0030</t>
        </is>
      </c>
      <c r="C113" s="6" t="inlineStr">
        <is>
          <t>P2P Transfer</t>
        </is>
      </c>
      <c r="D113" s="6" t="n">
        <v>16788</v>
      </c>
      <c r="E113" s="6" t="n">
        <v>5</v>
      </c>
      <c r="F113" s="6" t="n">
        <v>1</v>
      </c>
      <c r="G113" s="6" t="n">
        <v>1</v>
      </c>
      <c r="H113" s="6" t="n">
        <v>0</v>
      </c>
      <c r="I113" s="6" t="n">
        <v>0</v>
      </c>
      <c r="J113" s="6" t="n">
        <v>0</v>
      </c>
      <c r="P113" s="7">
        <f>(D113-VLOOKUP(B113,$L$2:$N$61,2,FALSE))/VLOOKUP(B113,$L$2:$N$61,3,FALSE)</f>
        <v/>
      </c>
      <c r="Q113" s="6">
        <f>IF(P113&gt;2.5,1,0)</f>
        <v/>
      </c>
      <c r="R113" s="6">
        <f>IF(G113&gt;4,1,0)</f>
        <v/>
      </c>
      <c r="S113" s="6">
        <f>IF(AND(F113=1,P113&gt;0.5),1,0)</f>
        <v/>
      </c>
      <c r="T113" s="6">
        <f>IF(AND(OR(E113&gt;=23,E113&lt;=5),P113&gt;0),1,0)</f>
        <v/>
      </c>
      <c r="U113" s="6">
        <f>IF(H113=1,1,0)</f>
        <v/>
      </c>
      <c r="V113" s="6">
        <f>IF(I113&gt;=3,1,0)</f>
        <v/>
      </c>
      <c r="W113" s="6">
        <f>Q113*20+R113*15+S113*30+T113*15+U113*25+V113*20</f>
        <v/>
      </c>
      <c r="X113" s="6">
        <f>IF(W113&gt;=40,"REVIEW","OK")</f>
        <v/>
      </c>
    </row>
    <row r="114">
      <c r="A114" s="6" t="inlineStr">
        <is>
          <t>TXN-00113</t>
        </is>
      </c>
      <c r="B114" s="6" t="inlineStr">
        <is>
          <t>ACC-0024</t>
        </is>
      </c>
      <c r="C114" s="6" t="inlineStr">
        <is>
          <t>Bill Payment</t>
        </is>
      </c>
      <c r="D114" s="6" t="n">
        <v>2310</v>
      </c>
      <c r="E114" s="6" t="n">
        <v>11</v>
      </c>
      <c r="F114" s="6" t="n">
        <v>0</v>
      </c>
      <c r="G114" s="6" t="n">
        <v>2</v>
      </c>
      <c r="H114" s="6" t="n">
        <v>0</v>
      </c>
      <c r="I114" s="6" t="n">
        <v>0</v>
      </c>
      <c r="J114" s="6" t="n">
        <v>0</v>
      </c>
      <c r="P114" s="7">
        <f>(D114-VLOOKUP(B114,$L$2:$N$61,2,FALSE))/VLOOKUP(B114,$L$2:$N$61,3,FALSE)</f>
        <v/>
      </c>
      <c r="Q114" s="6">
        <f>IF(P114&gt;2.5,1,0)</f>
        <v/>
      </c>
      <c r="R114" s="6">
        <f>IF(G114&gt;4,1,0)</f>
        <v/>
      </c>
      <c r="S114" s="6">
        <f>IF(AND(F114=1,P114&gt;0.5),1,0)</f>
        <v/>
      </c>
      <c r="T114" s="6">
        <f>IF(AND(OR(E114&gt;=23,E114&lt;=5),P114&gt;0),1,0)</f>
        <v/>
      </c>
      <c r="U114" s="6">
        <f>IF(H114=1,1,0)</f>
        <v/>
      </c>
      <c r="V114" s="6">
        <f>IF(I114&gt;=3,1,0)</f>
        <v/>
      </c>
      <c r="W114" s="6">
        <f>Q114*20+R114*15+S114*30+T114*15+U114*25+V114*20</f>
        <v/>
      </c>
      <c r="X114" s="6">
        <f>IF(W114&gt;=40,"REVIEW","OK")</f>
        <v/>
      </c>
    </row>
    <row r="115">
      <c r="A115" s="6" t="inlineStr">
        <is>
          <t>TXN-00114</t>
        </is>
      </c>
      <c r="B115" s="6" t="inlineStr">
        <is>
          <t>ACC-0027</t>
        </is>
      </c>
      <c r="C115" s="6" t="inlineStr">
        <is>
          <t>Merchant Payment</t>
        </is>
      </c>
      <c r="D115" s="6" t="n">
        <v>8670</v>
      </c>
      <c r="E115" s="6" t="n">
        <v>10</v>
      </c>
      <c r="F115" s="6" t="n">
        <v>0</v>
      </c>
      <c r="G115" s="6" t="n">
        <v>4</v>
      </c>
      <c r="H115" s="6" t="n">
        <v>0</v>
      </c>
      <c r="I115" s="6" t="n">
        <v>0</v>
      </c>
      <c r="J115" s="6" t="n">
        <v>0</v>
      </c>
      <c r="P115" s="7">
        <f>(D115-VLOOKUP(B115,$L$2:$N$61,2,FALSE))/VLOOKUP(B115,$L$2:$N$61,3,FALSE)</f>
        <v/>
      </c>
      <c r="Q115" s="6">
        <f>IF(P115&gt;2.5,1,0)</f>
        <v/>
      </c>
      <c r="R115" s="6">
        <f>IF(G115&gt;4,1,0)</f>
        <v/>
      </c>
      <c r="S115" s="6">
        <f>IF(AND(F115=1,P115&gt;0.5),1,0)</f>
        <v/>
      </c>
      <c r="T115" s="6">
        <f>IF(AND(OR(E115&gt;=23,E115&lt;=5),P115&gt;0),1,0)</f>
        <v/>
      </c>
      <c r="U115" s="6">
        <f>IF(H115=1,1,0)</f>
        <v/>
      </c>
      <c r="V115" s="6">
        <f>IF(I115&gt;=3,1,0)</f>
        <v/>
      </c>
      <c r="W115" s="6">
        <f>Q115*20+R115*15+S115*30+T115*15+U115*25+V115*20</f>
        <v/>
      </c>
      <c r="X115" s="6">
        <f>IF(W115&gt;=40,"REVIEW","OK")</f>
        <v/>
      </c>
    </row>
    <row r="116">
      <c r="A116" s="6" t="inlineStr">
        <is>
          <t>TXN-00115</t>
        </is>
      </c>
      <c r="B116" s="6" t="inlineStr">
        <is>
          <t>ACC-0029</t>
        </is>
      </c>
      <c r="C116" s="6" t="inlineStr">
        <is>
          <t>P2P Transfer</t>
        </is>
      </c>
      <c r="D116" s="6" t="n">
        <v>3318</v>
      </c>
      <c r="E116" s="6" t="n">
        <v>22</v>
      </c>
      <c r="F116" s="6" t="n">
        <v>0</v>
      </c>
      <c r="G116" s="6" t="n">
        <v>2</v>
      </c>
      <c r="H116" s="6" t="n">
        <v>0</v>
      </c>
      <c r="I116" s="6" t="n">
        <v>3</v>
      </c>
      <c r="J116" s="6" t="n">
        <v>0</v>
      </c>
      <c r="P116" s="7">
        <f>(D116-VLOOKUP(B116,$L$2:$N$61,2,FALSE))/VLOOKUP(B116,$L$2:$N$61,3,FALSE)</f>
        <v/>
      </c>
      <c r="Q116" s="6">
        <f>IF(P116&gt;2.5,1,0)</f>
        <v/>
      </c>
      <c r="R116" s="6">
        <f>IF(G116&gt;4,1,0)</f>
        <v/>
      </c>
      <c r="S116" s="6">
        <f>IF(AND(F116=1,P116&gt;0.5),1,0)</f>
        <v/>
      </c>
      <c r="T116" s="6">
        <f>IF(AND(OR(E116&gt;=23,E116&lt;=5),P116&gt;0),1,0)</f>
        <v/>
      </c>
      <c r="U116" s="6">
        <f>IF(H116=1,1,0)</f>
        <v/>
      </c>
      <c r="V116" s="6">
        <f>IF(I116&gt;=3,1,0)</f>
        <v/>
      </c>
      <c r="W116" s="6">
        <f>Q116*20+R116*15+S116*30+T116*15+U116*25+V116*20</f>
        <v/>
      </c>
      <c r="X116" s="6">
        <f>IF(W116&gt;=40,"REVIEW","OK")</f>
        <v/>
      </c>
    </row>
    <row r="117">
      <c r="A117" s="6" t="inlineStr">
        <is>
          <t>TXN-00116</t>
        </is>
      </c>
      <c r="B117" s="6" t="inlineStr">
        <is>
          <t>ACC-0025</t>
        </is>
      </c>
      <c r="C117" s="6" t="inlineStr">
        <is>
          <t>Airtime Top-up</t>
        </is>
      </c>
      <c r="D117" s="6" t="n">
        <v>12710</v>
      </c>
      <c r="E117" s="6" t="n">
        <v>11</v>
      </c>
      <c r="F117" s="6" t="n">
        <v>0</v>
      </c>
      <c r="G117" s="6" t="n">
        <v>3</v>
      </c>
      <c r="H117" s="6" t="n">
        <v>0</v>
      </c>
      <c r="I117" s="6" t="n">
        <v>0</v>
      </c>
      <c r="J117" s="6" t="n">
        <v>1</v>
      </c>
      <c r="P117" s="7">
        <f>(D117-VLOOKUP(B117,$L$2:$N$61,2,FALSE))/VLOOKUP(B117,$L$2:$N$61,3,FALSE)</f>
        <v/>
      </c>
      <c r="Q117" s="6">
        <f>IF(P117&gt;2.5,1,0)</f>
        <v/>
      </c>
      <c r="R117" s="6">
        <f>IF(G117&gt;4,1,0)</f>
        <v/>
      </c>
      <c r="S117" s="6">
        <f>IF(AND(F117=1,P117&gt;0.5),1,0)</f>
        <v/>
      </c>
      <c r="T117" s="6">
        <f>IF(AND(OR(E117&gt;=23,E117&lt;=5),P117&gt;0),1,0)</f>
        <v/>
      </c>
      <c r="U117" s="6">
        <f>IF(H117=1,1,0)</f>
        <v/>
      </c>
      <c r="V117" s="6">
        <f>IF(I117&gt;=3,1,0)</f>
        <v/>
      </c>
      <c r="W117" s="6">
        <f>Q117*20+R117*15+S117*30+T117*15+U117*25+V117*20</f>
        <v/>
      </c>
      <c r="X117" s="6">
        <f>IF(W117&gt;=40,"REVIEW","OK")</f>
        <v/>
      </c>
    </row>
    <row r="118">
      <c r="A118" s="6" t="inlineStr">
        <is>
          <t>TXN-00117</t>
        </is>
      </c>
      <c r="B118" s="6" t="inlineStr">
        <is>
          <t>ACC-0022</t>
        </is>
      </c>
      <c r="C118" s="6" t="inlineStr">
        <is>
          <t>Bill Payment</t>
        </is>
      </c>
      <c r="D118" s="6" t="n">
        <v>11794</v>
      </c>
      <c r="E118" s="6" t="n">
        <v>18</v>
      </c>
      <c r="F118" s="6" t="n">
        <v>0</v>
      </c>
      <c r="G118" s="6" t="n">
        <v>2</v>
      </c>
      <c r="H118" s="6" t="n">
        <v>0</v>
      </c>
      <c r="I118" s="6" t="n">
        <v>0</v>
      </c>
      <c r="J118" s="6" t="n">
        <v>0</v>
      </c>
      <c r="P118" s="7">
        <f>(D118-VLOOKUP(B118,$L$2:$N$61,2,FALSE))/VLOOKUP(B118,$L$2:$N$61,3,FALSE)</f>
        <v/>
      </c>
      <c r="Q118" s="6">
        <f>IF(P118&gt;2.5,1,0)</f>
        <v/>
      </c>
      <c r="R118" s="6">
        <f>IF(G118&gt;4,1,0)</f>
        <v/>
      </c>
      <c r="S118" s="6">
        <f>IF(AND(F118=1,P118&gt;0.5),1,0)</f>
        <v/>
      </c>
      <c r="T118" s="6">
        <f>IF(AND(OR(E118&gt;=23,E118&lt;=5),P118&gt;0),1,0)</f>
        <v/>
      </c>
      <c r="U118" s="6">
        <f>IF(H118=1,1,0)</f>
        <v/>
      </c>
      <c r="V118" s="6">
        <f>IF(I118&gt;=3,1,0)</f>
        <v/>
      </c>
      <c r="W118" s="6">
        <f>Q118*20+R118*15+S118*30+T118*15+U118*25+V118*20</f>
        <v/>
      </c>
      <c r="X118" s="6">
        <f>IF(W118&gt;=40,"REVIEW","OK")</f>
        <v/>
      </c>
    </row>
    <row r="119">
      <c r="A119" s="6" t="inlineStr">
        <is>
          <t>TXN-00118</t>
        </is>
      </c>
      <c r="B119" s="6" t="inlineStr">
        <is>
          <t>ACC-0059</t>
        </is>
      </c>
      <c r="C119" s="6" t="inlineStr">
        <is>
          <t>P2P Transfer</t>
        </is>
      </c>
      <c r="D119" s="6" t="n">
        <v>5206</v>
      </c>
      <c r="E119" s="6" t="n">
        <v>22</v>
      </c>
      <c r="F119" s="6" t="n">
        <v>1</v>
      </c>
      <c r="G119" s="6" t="n">
        <v>1</v>
      </c>
      <c r="H119" s="6" t="n">
        <v>0</v>
      </c>
      <c r="I119" s="6" t="n">
        <v>0</v>
      </c>
      <c r="J119" s="6" t="n">
        <v>0</v>
      </c>
      <c r="P119" s="7">
        <f>(D119-VLOOKUP(B119,$L$2:$N$61,2,FALSE))/VLOOKUP(B119,$L$2:$N$61,3,FALSE)</f>
        <v/>
      </c>
      <c r="Q119" s="6">
        <f>IF(P119&gt;2.5,1,0)</f>
        <v/>
      </c>
      <c r="R119" s="6">
        <f>IF(G119&gt;4,1,0)</f>
        <v/>
      </c>
      <c r="S119" s="6">
        <f>IF(AND(F119=1,P119&gt;0.5),1,0)</f>
        <v/>
      </c>
      <c r="T119" s="6">
        <f>IF(AND(OR(E119&gt;=23,E119&lt;=5),P119&gt;0),1,0)</f>
        <v/>
      </c>
      <c r="U119" s="6">
        <f>IF(H119=1,1,0)</f>
        <v/>
      </c>
      <c r="V119" s="6">
        <f>IF(I119&gt;=3,1,0)</f>
        <v/>
      </c>
      <c r="W119" s="6">
        <f>Q119*20+R119*15+S119*30+T119*15+U119*25+V119*20</f>
        <v/>
      </c>
      <c r="X119" s="6">
        <f>IF(W119&gt;=40,"REVIEW","OK")</f>
        <v/>
      </c>
    </row>
    <row r="120">
      <c r="A120" s="6" t="inlineStr">
        <is>
          <t>TXN-00119</t>
        </is>
      </c>
      <c r="B120" s="6" t="inlineStr">
        <is>
          <t>ACC-0027</t>
        </is>
      </c>
      <c r="C120" s="6" t="inlineStr">
        <is>
          <t>P2P Transfer</t>
        </is>
      </c>
      <c r="D120" s="6" t="n">
        <v>12338</v>
      </c>
      <c r="E120" s="6" t="n">
        <v>14</v>
      </c>
      <c r="F120" s="6" t="n">
        <v>0</v>
      </c>
      <c r="G120" s="6" t="n">
        <v>2</v>
      </c>
      <c r="H120" s="6" t="n">
        <v>0</v>
      </c>
      <c r="I120" s="6" t="n">
        <v>1</v>
      </c>
      <c r="J120" s="6" t="n">
        <v>0</v>
      </c>
      <c r="P120" s="7">
        <f>(D120-VLOOKUP(B120,$L$2:$N$61,2,FALSE))/VLOOKUP(B120,$L$2:$N$61,3,FALSE)</f>
        <v/>
      </c>
      <c r="Q120" s="6">
        <f>IF(P120&gt;2.5,1,0)</f>
        <v/>
      </c>
      <c r="R120" s="6">
        <f>IF(G120&gt;4,1,0)</f>
        <v/>
      </c>
      <c r="S120" s="6">
        <f>IF(AND(F120=1,P120&gt;0.5),1,0)</f>
        <v/>
      </c>
      <c r="T120" s="6">
        <f>IF(AND(OR(E120&gt;=23,E120&lt;=5),P120&gt;0),1,0)</f>
        <v/>
      </c>
      <c r="U120" s="6">
        <f>IF(H120=1,1,0)</f>
        <v/>
      </c>
      <c r="V120" s="6">
        <f>IF(I120&gt;=3,1,0)</f>
        <v/>
      </c>
      <c r="W120" s="6">
        <f>Q120*20+R120*15+S120*30+T120*15+U120*25+V120*20</f>
        <v/>
      </c>
      <c r="X120" s="6">
        <f>IF(W120&gt;=40,"REVIEW","OK")</f>
        <v/>
      </c>
    </row>
    <row r="121">
      <c r="A121" s="6" t="inlineStr">
        <is>
          <t>TXN-00120</t>
        </is>
      </c>
      <c r="B121" s="6" t="inlineStr">
        <is>
          <t>ACC-0038</t>
        </is>
      </c>
      <c r="C121" s="6" t="inlineStr">
        <is>
          <t>P2P Transfer</t>
        </is>
      </c>
      <c r="D121" s="6" t="n">
        <v>18398</v>
      </c>
      <c r="E121" s="6" t="n">
        <v>3</v>
      </c>
      <c r="F121" s="6" t="n">
        <v>0</v>
      </c>
      <c r="G121" s="6" t="n">
        <v>1</v>
      </c>
      <c r="H121" s="6" t="n">
        <v>0</v>
      </c>
      <c r="I121" s="6" t="n">
        <v>0</v>
      </c>
      <c r="J121" s="6" t="n">
        <v>1</v>
      </c>
      <c r="P121" s="7">
        <f>(D121-VLOOKUP(B121,$L$2:$N$61,2,FALSE))/VLOOKUP(B121,$L$2:$N$61,3,FALSE)</f>
        <v/>
      </c>
      <c r="Q121" s="6">
        <f>IF(P121&gt;2.5,1,0)</f>
        <v/>
      </c>
      <c r="R121" s="6">
        <f>IF(G121&gt;4,1,0)</f>
        <v/>
      </c>
      <c r="S121" s="6">
        <f>IF(AND(F121=1,P121&gt;0.5),1,0)</f>
        <v/>
      </c>
      <c r="T121" s="6">
        <f>IF(AND(OR(E121&gt;=23,E121&lt;=5),P121&gt;0),1,0)</f>
        <v/>
      </c>
      <c r="U121" s="6">
        <f>IF(H121=1,1,0)</f>
        <v/>
      </c>
      <c r="V121" s="6">
        <f>IF(I121&gt;=3,1,0)</f>
        <v/>
      </c>
      <c r="W121" s="6">
        <f>Q121*20+R121*15+S121*30+T121*15+U121*25+V121*20</f>
        <v/>
      </c>
      <c r="X121" s="6">
        <f>IF(W121&gt;=40,"REVIEW","OK")</f>
        <v/>
      </c>
    </row>
    <row r="122">
      <c r="A122" s="6" t="inlineStr">
        <is>
          <t>TXN-00121</t>
        </is>
      </c>
      <c r="B122" s="6" t="inlineStr">
        <is>
          <t>ACC-0028</t>
        </is>
      </c>
      <c r="C122" s="6" t="inlineStr">
        <is>
          <t>Cash Withdrawal (Agent)</t>
        </is>
      </c>
      <c r="D122" s="6" t="n">
        <v>4465</v>
      </c>
      <c r="E122" s="6" t="n">
        <v>2</v>
      </c>
      <c r="F122" s="6" t="n">
        <v>0</v>
      </c>
      <c r="G122" s="6" t="n">
        <v>1</v>
      </c>
      <c r="H122" s="6" t="n">
        <v>0</v>
      </c>
      <c r="I122" s="6" t="n">
        <v>0</v>
      </c>
      <c r="J122" s="6" t="n">
        <v>0</v>
      </c>
      <c r="P122" s="7">
        <f>(D122-VLOOKUP(B122,$L$2:$N$61,2,FALSE))/VLOOKUP(B122,$L$2:$N$61,3,FALSE)</f>
        <v/>
      </c>
      <c r="Q122" s="6">
        <f>IF(P122&gt;2.5,1,0)</f>
        <v/>
      </c>
      <c r="R122" s="6">
        <f>IF(G122&gt;4,1,0)</f>
        <v/>
      </c>
      <c r="S122" s="6">
        <f>IF(AND(F122=1,P122&gt;0.5),1,0)</f>
        <v/>
      </c>
      <c r="T122" s="6">
        <f>IF(AND(OR(E122&gt;=23,E122&lt;=5),P122&gt;0),1,0)</f>
        <v/>
      </c>
      <c r="U122" s="6">
        <f>IF(H122=1,1,0)</f>
        <v/>
      </c>
      <c r="V122" s="6">
        <f>IF(I122&gt;=3,1,0)</f>
        <v/>
      </c>
      <c r="W122" s="6">
        <f>Q122*20+R122*15+S122*30+T122*15+U122*25+V122*20</f>
        <v/>
      </c>
      <c r="X122" s="6">
        <f>IF(W122&gt;=40,"REVIEW","OK")</f>
        <v/>
      </c>
    </row>
    <row r="123">
      <c r="A123" s="6" t="inlineStr">
        <is>
          <t>TXN-00122</t>
        </is>
      </c>
      <c r="B123" s="6" t="inlineStr">
        <is>
          <t>ACC-0009</t>
        </is>
      </c>
      <c r="C123" s="6" t="inlineStr">
        <is>
          <t>P2P Transfer</t>
        </is>
      </c>
      <c r="D123" s="6" t="n">
        <v>989</v>
      </c>
      <c r="E123" s="6" t="n">
        <v>8</v>
      </c>
      <c r="F123" s="6" t="n">
        <v>0</v>
      </c>
      <c r="G123" s="6" t="n">
        <v>1</v>
      </c>
      <c r="H123" s="6" t="n">
        <v>0</v>
      </c>
      <c r="I123" s="6" t="n">
        <v>0</v>
      </c>
      <c r="J123" s="6" t="n">
        <v>0</v>
      </c>
      <c r="P123" s="7">
        <f>(D123-VLOOKUP(B123,$L$2:$N$61,2,FALSE))/VLOOKUP(B123,$L$2:$N$61,3,FALSE)</f>
        <v/>
      </c>
      <c r="Q123" s="6">
        <f>IF(P123&gt;2.5,1,0)</f>
        <v/>
      </c>
      <c r="R123" s="6">
        <f>IF(G123&gt;4,1,0)</f>
        <v/>
      </c>
      <c r="S123" s="6">
        <f>IF(AND(F123=1,P123&gt;0.5),1,0)</f>
        <v/>
      </c>
      <c r="T123" s="6">
        <f>IF(AND(OR(E123&gt;=23,E123&lt;=5),P123&gt;0),1,0)</f>
        <v/>
      </c>
      <c r="U123" s="6">
        <f>IF(H123=1,1,0)</f>
        <v/>
      </c>
      <c r="V123" s="6">
        <f>IF(I123&gt;=3,1,0)</f>
        <v/>
      </c>
      <c r="W123" s="6">
        <f>Q123*20+R123*15+S123*30+T123*15+U123*25+V123*20</f>
        <v/>
      </c>
      <c r="X123" s="6">
        <f>IF(W123&gt;=40,"REVIEW","OK")</f>
        <v/>
      </c>
    </row>
    <row r="124">
      <c r="A124" s="6" t="inlineStr">
        <is>
          <t>TXN-00123</t>
        </is>
      </c>
      <c r="B124" s="6" t="inlineStr">
        <is>
          <t>ACC-0052</t>
        </is>
      </c>
      <c r="C124" s="6" t="inlineStr">
        <is>
          <t>Cash Withdrawal (Agent)</t>
        </is>
      </c>
      <c r="D124" s="6" t="n">
        <v>4436</v>
      </c>
      <c r="E124" s="6" t="n">
        <v>8</v>
      </c>
      <c r="F124" s="6" t="n">
        <v>0</v>
      </c>
      <c r="G124" s="6" t="n">
        <v>2</v>
      </c>
      <c r="H124" s="6" t="n">
        <v>0</v>
      </c>
      <c r="I124" s="6" t="n">
        <v>2</v>
      </c>
      <c r="J124" s="6" t="n">
        <v>0</v>
      </c>
      <c r="P124" s="7">
        <f>(D124-VLOOKUP(B124,$L$2:$N$61,2,FALSE))/VLOOKUP(B124,$L$2:$N$61,3,FALSE)</f>
        <v/>
      </c>
      <c r="Q124" s="6">
        <f>IF(P124&gt;2.5,1,0)</f>
        <v/>
      </c>
      <c r="R124" s="6">
        <f>IF(G124&gt;4,1,0)</f>
        <v/>
      </c>
      <c r="S124" s="6">
        <f>IF(AND(F124=1,P124&gt;0.5),1,0)</f>
        <v/>
      </c>
      <c r="T124" s="6">
        <f>IF(AND(OR(E124&gt;=23,E124&lt;=5),P124&gt;0),1,0)</f>
        <v/>
      </c>
      <c r="U124" s="6">
        <f>IF(H124=1,1,0)</f>
        <v/>
      </c>
      <c r="V124" s="6">
        <f>IF(I124&gt;=3,1,0)</f>
        <v/>
      </c>
      <c r="W124" s="6">
        <f>Q124*20+R124*15+S124*30+T124*15+U124*25+V124*20</f>
        <v/>
      </c>
      <c r="X124" s="6">
        <f>IF(W124&gt;=40,"REVIEW","OK")</f>
        <v/>
      </c>
    </row>
    <row r="125">
      <c r="A125" s="6" t="inlineStr">
        <is>
          <t>TXN-00124</t>
        </is>
      </c>
      <c r="B125" s="6" t="inlineStr">
        <is>
          <t>ACC-0014</t>
        </is>
      </c>
      <c r="C125" s="6" t="inlineStr">
        <is>
          <t>P2P Transfer</t>
        </is>
      </c>
      <c r="D125" s="6" t="n">
        <v>6280</v>
      </c>
      <c r="E125" s="6" t="n">
        <v>23</v>
      </c>
      <c r="F125" s="6" t="n">
        <v>0</v>
      </c>
      <c r="G125" s="6" t="n">
        <v>2</v>
      </c>
      <c r="H125" s="6" t="n">
        <v>0</v>
      </c>
      <c r="I125" s="6" t="n">
        <v>0</v>
      </c>
      <c r="J125" s="6" t="n">
        <v>0</v>
      </c>
      <c r="P125" s="7">
        <f>(D125-VLOOKUP(B125,$L$2:$N$61,2,FALSE))/VLOOKUP(B125,$L$2:$N$61,3,FALSE)</f>
        <v/>
      </c>
      <c r="Q125" s="6">
        <f>IF(P125&gt;2.5,1,0)</f>
        <v/>
      </c>
      <c r="R125" s="6">
        <f>IF(G125&gt;4,1,0)</f>
        <v/>
      </c>
      <c r="S125" s="6">
        <f>IF(AND(F125=1,P125&gt;0.5),1,0)</f>
        <v/>
      </c>
      <c r="T125" s="6">
        <f>IF(AND(OR(E125&gt;=23,E125&lt;=5),P125&gt;0),1,0)</f>
        <v/>
      </c>
      <c r="U125" s="6">
        <f>IF(H125=1,1,0)</f>
        <v/>
      </c>
      <c r="V125" s="6">
        <f>IF(I125&gt;=3,1,0)</f>
        <v/>
      </c>
      <c r="W125" s="6">
        <f>Q125*20+R125*15+S125*30+T125*15+U125*25+V125*20</f>
        <v/>
      </c>
      <c r="X125" s="6">
        <f>IF(W125&gt;=40,"REVIEW","OK")</f>
        <v/>
      </c>
    </row>
    <row r="126">
      <c r="A126" s="6" t="inlineStr">
        <is>
          <t>TXN-00125</t>
        </is>
      </c>
      <c r="B126" s="6" t="inlineStr">
        <is>
          <t>ACC-0045</t>
        </is>
      </c>
      <c r="C126" s="6" t="inlineStr">
        <is>
          <t>P2P Transfer</t>
        </is>
      </c>
      <c r="D126" s="6" t="n">
        <v>6590</v>
      </c>
      <c r="E126" s="6" t="n">
        <v>19</v>
      </c>
      <c r="F126" s="6" t="n">
        <v>1</v>
      </c>
      <c r="G126" s="6" t="n">
        <v>1</v>
      </c>
      <c r="H126" s="6" t="n">
        <v>1</v>
      </c>
      <c r="I126" s="6" t="n">
        <v>0</v>
      </c>
      <c r="J126" s="6" t="n">
        <v>0</v>
      </c>
      <c r="P126" s="7">
        <f>(D126-VLOOKUP(B126,$L$2:$N$61,2,FALSE))/VLOOKUP(B126,$L$2:$N$61,3,FALSE)</f>
        <v/>
      </c>
      <c r="Q126" s="6">
        <f>IF(P126&gt;2.5,1,0)</f>
        <v/>
      </c>
      <c r="R126" s="6">
        <f>IF(G126&gt;4,1,0)</f>
        <v/>
      </c>
      <c r="S126" s="6">
        <f>IF(AND(F126=1,P126&gt;0.5),1,0)</f>
        <v/>
      </c>
      <c r="T126" s="6">
        <f>IF(AND(OR(E126&gt;=23,E126&lt;=5),P126&gt;0),1,0)</f>
        <v/>
      </c>
      <c r="U126" s="6">
        <f>IF(H126=1,1,0)</f>
        <v/>
      </c>
      <c r="V126" s="6">
        <f>IF(I126&gt;=3,1,0)</f>
        <v/>
      </c>
      <c r="W126" s="6">
        <f>Q126*20+R126*15+S126*30+T126*15+U126*25+V126*20</f>
        <v/>
      </c>
      <c r="X126" s="6">
        <f>IF(W126&gt;=40,"REVIEW","OK")</f>
        <v/>
      </c>
    </row>
    <row r="127">
      <c r="A127" s="6" t="inlineStr">
        <is>
          <t>TXN-00126</t>
        </is>
      </c>
      <c r="B127" s="6" t="inlineStr">
        <is>
          <t>ACC-0036</t>
        </is>
      </c>
      <c r="C127" s="6" t="inlineStr">
        <is>
          <t>Cash Withdrawal (Agent)</t>
        </is>
      </c>
      <c r="D127" s="6" t="n">
        <v>11490</v>
      </c>
      <c r="E127" s="6" t="n">
        <v>10</v>
      </c>
      <c r="F127" s="6" t="n">
        <v>0</v>
      </c>
      <c r="G127" s="6" t="n">
        <v>5</v>
      </c>
      <c r="H127" s="6" t="n">
        <v>0</v>
      </c>
      <c r="I127" s="6" t="n">
        <v>4</v>
      </c>
      <c r="J127" s="6" t="n">
        <v>0</v>
      </c>
      <c r="P127" s="7">
        <f>(D127-VLOOKUP(B127,$L$2:$N$61,2,FALSE))/VLOOKUP(B127,$L$2:$N$61,3,FALSE)</f>
        <v/>
      </c>
      <c r="Q127" s="6">
        <f>IF(P127&gt;2.5,1,0)</f>
        <v/>
      </c>
      <c r="R127" s="6">
        <f>IF(G127&gt;4,1,0)</f>
        <v/>
      </c>
      <c r="S127" s="6">
        <f>IF(AND(F127=1,P127&gt;0.5),1,0)</f>
        <v/>
      </c>
      <c r="T127" s="6">
        <f>IF(AND(OR(E127&gt;=23,E127&lt;=5),P127&gt;0),1,0)</f>
        <v/>
      </c>
      <c r="U127" s="6">
        <f>IF(H127=1,1,0)</f>
        <v/>
      </c>
      <c r="V127" s="6">
        <f>IF(I127&gt;=3,1,0)</f>
        <v/>
      </c>
      <c r="W127" s="6">
        <f>Q127*20+R127*15+S127*30+T127*15+U127*25+V127*20</f>
        <v/>
      </c>
      <c r="X127" s="6">
        <f>IF(W127&gt;=40,"REVIEW","OK")</f>
        <v/>
      </c>
    </row>
    <row r="128">
      <c r="A128" s="6" t="inlineStr">
        <is>
          <t>TXN-00127</t>
        </is>
      </c>
      <c r="B128" s="6" t="inlineStr">
        <is>
          <t>ACC-0018</t>
        </is>
      </c>
      <c r="C128" s="6" t="inlineStr">
        <is>
          <t>P2P Transfer</t>
        </is>
      </c>
      <c r="D128" s="6" t="n">
        <v>10489</v>
      </c>
      <c r="E128" s="6" t="n">
        <v>21</v>
      </c>
      <c r="F128" s="6" t="n">
        <v>0</v>
      </c>
      <c r="G128" s="6" t="n">
        <v>1</v>
      </c>
      <c r="H128" s="6" t="n">
        <v>0</v>
      </c>
      <c r="I128" s="6" t="n">
        <v>0</v>
      </c>
      <c r="J128" s="6" t="n">
        <v>0</v>
      </c>
      <c r="P128" s="7">
        <f>(D128-VLOOKUP(B128,$L$2:$N$61,2,FALSE))/VLOOKUP(B128,$L$2:$N$61,3,FALSE)</f>
        <v/>
      </c>
      <c r="Q128" s="6">
        <f>IF(P128&gt;2.5,1,0)</f>
        <v/>
      </c>
      <c r="R128" s="6">
        <f>IF(G128&gt;4,1,0)</f>
        <v/>
      </c>
      <c r="S128" s="6">
        <f>IF(AND(F128=1,P128&gt;0.5),1,0)</f>
        <v/>
      </c>
      <c r="T128" s="6">
        <f>IF(AND(OR(E128&gt;=23,E128&lt;=5),P128&gt;0),1,0)</f>
        <v/>
      </c>
      <c r="U128" s="6">
        <f>IF(H128=1,1,0)</f>
        <v/>
      </c>
      <c r="V128" s="6">
        <f>IF(I128&gt;=3,1,0)</f>
        <v/>
      </c>
      <c r="W128" s="6">
        <f>Q128*20+R128*15+S128*30+T128*15+U128*25+V128*20</f>
        <v/>
      </c>
      <c r="X128" s="6">
        <f>IF(W128&gt;=40,"REVIEW","OK")</f>
        <v/>
      </c>
    </row>
    <row r="129">
      <c r="A129" s="6" t="inlineStr">
        <is>
          <t>TXN-00128</t>
        </is>
      </c>
      <c r="B129" s="6" t="inlineStr">
        <is>
          <t>ACC-0045</t>
        </is>
      </c>
      <c r="C129" s="6" t="inlineStr">
        <is>
          <t>P2P Transfer</t>
        </is>
      </c>
      <c r="D129" s="6" t="n">
        <v>5885</v>
      </c>
      <c r="E129" s="6" t="n">
        <v>6</v>
      </c>
      <c r="F129" s="6" t="n">
        <v>0</v>
      </c>
      <c r="G129" s="6" t="n">
        <v>5</v>
      </c>
      <c r="H129" s="6" t="n">
        <v>0</v>
      </c>
      <c r="I129" s="6" t="n">
        <v>0</v>
      </c>
      <c r="J129" s="6" t="n">
        <v>0</v>
      </c>
      <c r="P129" s="7">
        <f>(D129-VLOOKUP(B129,$L$2:$N$61,2,FALSE))/VLOOKUP(B129,$L$2:$N$61,3,FALSE)</f>
        <v/>
      </c>
      <c r="Q129" s="6">
        <f>IF(P129&gt;2.5,1,0)</f>
        <v/>
      </c>
      <c r="R129" s="6">
        <f>IF(G129&gt;4,1,0)</f>
        <v/>
      </c>
      <c r="S129" s="6">
        <f>IF(AND(F129=1,P129&gt;0.5),1,0)</f>
        <v/>
      </c>
      <c r="T129" s="6">
        <f>IF(AND(OR(E129&gt;=23,E129&lt;=5),P129&gt;0),1,0)</f>
        <v/>
      </c>
      <c r="U129" s="6">
        <f>IF(H129=1,1,0)</f>
        <v/>
      </c>
      <c r="V129" s="6">
        <f>IF(I129&gt;=3,1,0)</f>
        <v/>
      </c>
      <c r="W129" s="6">
        <f>Q129*20+R129*15+S129*30+T129*15+U129*25+V129*20</f>
        <v/>
      </c>
      <c r="X129" s="6">
        <f>IF(W129&gt;=40,"REVIEW","OK")</f>
        <v/>
      </c>
    </row>
    <row r="130">
      <c r="A130" s="6" t="inlineStr">
        <is>
          <t>TXN-00129</t>
        </is>
      </c>
      <c r="B130" s="6" t="inlineStr">
        <is>
          <t>ACC-0028</t>
        </is>
      </c>
      <c r="C130" s="6" t="inlineStr">
        <is>
          <t>Bill Payment</t>
        </is>
      </c>
      <c r="D130" s="6" t="n">
        <v>3883</v>
      </c>
      <c r="E130" s="6" t="n">
        <v>6</v>
      </c>
      <c r="F130" s="6" t="n">
        <v>0</v>
      </c>
      <c r="G130" s="6" t="n">
        <v>1</v>
      </c>
      <c r="H130" s="6" t="n">
        <v>0</v>
      </c>
      <c r="I130" s="6" t="n">
        <v>0</v>
      </c>
      <c r="J130" s="6" t="n">
        <v>0</v>
      </c>
      <c r="P130" s="7">
        <f>(D130-VLOOKUP(B130,$L$2:$N$61,2,FALSE))/VLOOKUP(B130,$L$2:$N$61,3,FALSE)</f>
        <v/>
      </c>
      <c r="Q130" s="6">
        <f>IF(P130&gt;2.5,1,0)</f>
        <v/>
      </c>
      <c r="R130" s="6">
        <f>IF(G130&gt;4,1,0)</f>
        <v/>
      </c>
      <c r="S130" s="6">
        <f>IF(AND(F130=1,P130&gt;0.5),1,0)</f>
        <v/>
      </c>
      <c r="T130" s="6">
        <f>IF(AND(OR(E130&gt;=23,E130&lt;=5),P130&gt;0),1,0)</f>
        <v/>
      </c>
      <c r="U130" s="6">
        <f>IF(H130=1,1,0)</f>
        <v/>
      </c>
      <c r="V130" s="6">
        <f>IF(I130&gt;=3,1,0)</f>
        <v/>
      </c>
      <c r="W130" s="6">
        <f>Q130*20+R130*15+S130*30+T130*15+U130*25+V130*20</f>
        <v/>
      </c>
      <c r="X130" s="6">
        <f>IF(W130&gt;=40,"REVIEW","OK")</f>
        <v/>
      </c>
    </row>
    <row r="131">
      <c r="A131" s="6" t="inlineStr">
        <is>
          <t>TXN-00130</t>
        </is>
      </c>
      <c r="B131" s="6" t="inlineStr">
        <is>
          <t>ACC-0016</t>
        </is>
      </c>
      <c r="C131" s="6" t="inlineStr">
        <is>
          <t>P2P Transfer</t>
        </is>
      </c>
      <c r="D131" s="6" t="n">
        <v>16720</v>
      </c>
      <c r="E131" s="6" t="n">
        <v>9</v>
      </c>
      <c r="F131" s="6" t="n">
        <v>1</v>
      </c>
      <c r="G131" s="6" t="n">
        <v>2</v>
      </c>
      <c r="H131" s="6" t="n">
        <v>0</v>
      </c>
      <c r="I131" s="6" t="n">
        <v>0</v>
      </c>
      <c r="J131" s="6" t="n">
        <v>0</v>
      </c>
      <c r="P131" s="7">
        <f>(D131-VLOOKUP(B131,$L$2:$N$61,2,FALSE))/VLOOKUP(B131,$L$2:$N$61,3,FALSE)</f>
        <v/>
      </c>
      <c r="Q131" s="6">
        <f>IF(P131&gt;2.5,1,0)</f>
        <v/>
      </c>
      <c r="R131" s="6">
        <f>IF(G131&gt;4,1,0)</f>
        <v/>
      </c>
      <c r="S131" s="6">
        <f>IF(AND(F131=1,P131&gt;0.5),1,0)</f>
        <v/>
      </c>
      <c r="T131" s="6">
        <f>IF(AND(OR(E131&gt;=23,E131&lt;=5),P131&gt;0),1,0)</f>
        <v/>
      </c>
      <c r="U131" s="6">
        <f>IF(H131=1,1,0)</f>
        <v/>
      </c>
      <c r="V131" s="6">
        <f>IF(I131&gt;=3,1,0)</f>
        <v/>
      </c>
      <c r="W131" s="6">
        <f>Q131*20+R131*15+S131*30+T131*15+U131*25+V131*20</f>
        <v/>
      </c>
      <c r="X131" s="6">
        <f>IF(W131&gt;=40,"REVIEW","OK")</f>
        <v/>
      </c>
    </row>
    <row r="132">
      <c r="A132" s="6" t="inlineStr">
        <is>
          <t>TXN-00131</t>
        </is>
      </c>
      <c r="B132" s="6" t="inlineStr">
        <is>
          <t>ACC-0019</t>
        </is>
      </c>
      <c r="C132" s="6" t="inlineStr">
        <is>
          <t>Merchant Payment</t>
        </is>
      </c>
      <c r="D132" s="6" t="n">
        <v>17316</v>
      </c>
      <c r="E132" s="6" t="n">
        <v>17</v>
      </c>
      <c r="F132" s="6" t="n">
        <v>0</v>
      </c>
      <c r="G132" s="6" t="n">
        <v>1</v>
      </c>
      <c r="H132" s="6" t="n">
        <v>0</v>
      </c>
      <c r="I132" s="6" t="n">
        <v>0</v>
      </c>
      <c r="J132" s="6" t="n">
        <v>0</v>
      </c>
      <c r="P132" s="7">
        <f>(D132-VLOOKUP(B132,$L$2:$N$61,2,FALSE))/VLOOKUP(B132,$L$2:$N$61,3,FALSE)</f>
        <v/>
      </c>
      <c r="Q132" s="6">
        <f>IF(P132&gt;2.5,1,0)</f>
        <v/>
      </c>
      <c r="R132" s="6">
        <f>IF(G132&gt;4,1,0)</f>
        <v/>
      </c>
      <c r="S132" s="6">
        <f>IF(AND(F132=1,P132&gt;0.5),1,0)</f>
        <v/>
      </c>
      <c r="T132" s="6">
        <f>IF(AND(OR(E132&gt;=23,E132&lt;=5),P132&gt;0),1,0)</f>
        <v/>
      </c>
      <c r="U132" s="6">
        <f>IF(H132=1,1,0)</f>
        <v/>
      </c>
      <c r="V132" s="6">
        <f>IF(I132&gt;=3,1,0)</f>
        <v/>
      </c>
      <c r="W132" s="6">
        <f>Q132*20+R132*15+S132*30+T132*15+U132*25+V132*20</f>
        <v/>
      </c>
      <c r="X132" s="6">
        <f>IF(W132&gt;=40,"REVIEW","OK")</f>
        <v/>
      </c>
    </row>
    <row r="133">
      <c r="A133" s="6" t="inlineStr">
        <is>
          <t>TXN-00132</t>
        </is>
      </c>
      <c r="B133" s="6" t="inlineStr">
        <is>
          <t>ACC-0027</t>
        </is>
      </c>
      <c r="C133" s="6" t="inlineStr">
        <is>
          <t>P2P Transfer</t>
        </is>
      </c>
      <c r="D133" s="6" t="n">
        <v>11814</v>
      </c>
      <c r="E133" s="6" t="n">
        <v>23</v>
      </c>
      <c r="F133" s="6" t="n">
        <v>0</v>
      </c>
      <c r="G133" s="6" t="n">
        <v>4</v>
      </c>
      <c r="H133" s="6" t="n">
        <v>0</v>
      </c>
      <c r="I133" s="6" t="n">
        <v>0</v>
      </c>
      <c r="J133" s="6" t="n">
        <v>0</v>
      </c>
      <c r="P133" s="7">
        <f>(D133-VLOOKUP(B133,$L$2:$N$61,2,FALSE))/VLOOKUP(B133,$L$2:$N$61,3,FALSE)</f>
        <v/>
      </c>
      <c r="Q133" s="6">
        <f>IF(P133&gt;2.5,1,0)</f>
        <v/>
      </c>
      <c r="R133" s="6">
        <f>IF(G133&gt;4,1,0)</f>
        <v/>
      </c>
      <c r="S133" s="6">
        <f>IF(AND(F133=1,P133&gt;0.5),1,0)</f>
        <v/>
      </c>
      <c r="T133" s="6">
        <f>IF(AND(OR(E133&gt;=23,E133&lt;=5),P133&gt;0),1,0)</f>
        <v/>
      </c>
      <c r="U133" s="6">
        <f>IF(H133=1,1,0)</f>
        <v/>
      </c>
      <c r="V133" s="6">
        <f>IF(I133&gt;=3,1,0)</f>
        <v/>
      </c>
      <c r="W133" s="6">
        <f>Q133*20+R133*15+S133*30+T133*15+U133*25+V133*20</f>
        <v/>
      </c>
      <c r="X133" s="6">
        <f>IF(W133&gt;=40,"REVIEW","OK")</f>
        <v/>
      </c>
    </row>
    <row r="134">
      <c r="A134" s="6" t="inlineStr">
        <is>
          <t>TXN-00133</t>
        </is>
      </c>
      <c r="B134" s="6" t="inlineStr">
        <is>
          <t>ACC-0051</t>
        </is>
      </c>
      <c r="C134" s="6" t="inlineStr">
        <is>
          <t>Airtime Top-up</t>
        </is>
      </c>
      <c r="D134" s="6" t="n">
        <v>10797</v>
      </c>
      <c r="E134" s="6" t="n">
        <v>1</v>
      </c>
      <c r="F134" s="6" t="n">
        <v>0</v>
      </c>
      <c r="G134" s="6" t="n">
        <v>1</v>
      </c>
      <c r="H134" s="6" t="n">
        <v>0</v>
      </c>
      <c r="I134" s="6" t="n">
        <v>0</v>
      </c>
      <c r="J134" s="6" t="n">
        <v>0</v>
      </c>
      <c r="P134" s="7">
        <f>(D134-VLOOKUP(B134,$L$2:$N$61,2,FALSE))/VLOOKUP(B134,$L$2:$N$61,3,FALSE)</f>
        <v/>
      </c>
      <c r="Q134" s="6">
        <f>IF(P134&gt;2.5,1,0)</f>
        <v/>
      </c>
      <c r="R134" s="6">
        <f>IF(G134&gt;4,1,0)</f>
        <v/>
      </c>
      <c r="S134" s="6">
        <f>IF(AND(F134=1,P134&gt;0.5),1,0)</f>
        <v/>
      </c>
      <c r="T134" s="6">
        <f>IF(AND(OR(E134&gt;=23,E134&lt;=5),P134&gt;0),1,0)</f>
        <v/>
      </c>
      <c r="U134" s="6">
        <f>IF(H134=1,1,0)</f>
        <v/>
      </c>
      <c r="V134" s="6">
        <f>IF(I134&gt;=3,1,0)</f>
        <v/>
      </c>
      <c r="W134" s="6">
        <f>Q134*20+R134*15+S134*30+T134*15+U134*25+V134*20</f>
        <v/>
      </c>
      <c r="X134" s="6">
        <f>IF(W134&gt;=40,"REVIEW","OK")</f>
        <v/>
      </c>
    </row>
    <row r="135">
      <c r="A135" s="6" t="inlineStr">
        <is>
          <t>TXN-00134</t>
        </is>
      </c>
      <c r="B135" s="6" t="inlineStr">
        <is>
          <t>ACC-0017</t>
        </is>
      </c>
      <c r="C135" s="6" t="inlineStr">
        <is>
          <t>Merchant Payment</t>
        </is>
      </c>
      <c r="D135" s="6" t="n">
        <v>10625</v>
      </c>
      <c r="E135" s="6" t="n">
        <v>6</v>
      </c>
      <c r="F135" s="6" t="n">
        <v>0</v>
      </c>
      <c r="G135" s="6" t="n">
        <v>1</v>
      </c>
      <c r="H135" s="6" t="n">
        <v>0</v>
      </c>
      <c r="I135" s="6" t="n">
        <v>0</v>
      </c>
      <c r="J135" s="6" t="n">
        <v>0</v>
      </c>
      <c r="P135" s="7">
        <f>(D135-VLOOKUP(B135,$L$2:$N$61,2,FALSE))/VLOOKUP(B135,$L$2:$N$61,3,FALSE)</f>
        <v/>
      </c>
      <c r="Q135" s="6">
        <f>IF(P135&gt;2.5,1,0)</f>
        <v/>
      </c>
      <c r="R135" s="6">
        <f>IF(G135&gt;4,1,0)</f>
        <v/>
      </c>
      <c r="S135" s="6">
        <f>IF(AND(F135=1,P135&gt;0.5),1,0)</f>
        <v/>
      </c>
      <c r="T135" s="6">
        <f>IF(AND(OR(E135&gt;=23,E135&lt;=5),P135&gt;0),1,0)</f>
        <v/>
      </c>
      <c r="U135" s="6">
        <f>IF(H135=1,1,0)</f>
        <v/>
      </c>
      <c r="V135" s="6">
        <f>IF(I135&gt;=3,1,0)</f>
        <v/>
      </c>
      <c r="W135" s="6">
        <f>Q135*20+R135*15+S135*30+T135*15+U135*25+V135*20</f>
        <v/>
      </c>
      <c r="X135" s="6">
        <f>IF(W135&gt;=40,"REVIEW","OK")</f>
        <v/>
      </c>
    </row>
    <row r="136">
      <c r="A136" s="6" t="inlineStr">
        <is>
          <t>TXN-00135</t>
        </is>
      </c>
      <c r="B136" s="6" t="inlineStr">
        <is>
          <t>ACC-0054</t>
        </is>
      </c>
      <c r="C136" s="6" t="inlineStr">
        <is>
          <t>Bill Payment</t>
        </is>
      </c>
      <c r="D136" s="6" t="n">
        <v>12425</v>
      </c>
      <c r="E136" s="6" t="n">
        <v>15</v>
      </c>
      <c r="F136" s="6" t="n">
        <v>0</v>
      </c>
      <c r="G136" s="6" t="n">
        <v>3</v>
      </c>
      <c r="H136" s="6" t="n">
        <v>0</v>
      </c>
      <c r="I136" s="6" t="n">
        <v>0</v>
      </c>
      <c r="J136" s="6" t="n">
        <v>0</v>
      </c>
      <c r="P136" s="7">
        <f>(D136-VLOOKUP(B136,$L$2:$N$61,2,FALSE))/VLOOKUP(B136,$L$2:$N$61,3,FALSE)</f>
        <v/>
      </c>
      <c r="Q136" s="6">
        <f>IF(P136&gt;2.5,1,0)</f>
        <v/>
      </c>
      <c r="R136" s="6">
        <f>IF(G136&gt;4,1,0)</f>
        <v/>
      </c>
      <c r="S136" s="6">
        <f>IF(AND(F136=1,P136&gt;0.5),1,0)</f>
        <v/>
      </c>
      <c r="T136" s="6">
        <f>IF(AND(OR(E136&gt;=23,E136&lt;=5),P136&gt;0),1,0)</f>
        <v/>
      </c>
      <c r="U136" s="6">
        <f>IF(H136=1,1,0)</f>
        <v/>
      </c>
      <c r="V136" s="6">
        <f>IF(I136&gt;=3,1,0)</f>
        <v/>
      </c>
      <c r="W136" s="6">
        <f>Q136*20+R136*15+S136*30+T136*15+U136*25+V136*20</f>
        <v/>
      </c>
      <c r="X136" s="6">
        <f>IF(W136&gt;=40,"REVIEW","OK")</f>
        <v/>
      </c>
    </row>
    <row r="137">
      <c r="A137" s="6" t="inlineStr">
        <is>
          <t>TXN-00136</t>
        </is>
      </c>
      <c r="B137" s="6" t="inlineStr">
        <is>
          <t>ACC-0051</t>
        </is>
      </c>
      <c r="C137" s="6" t="inlineStr">
        <is>
          <t>Bill Payment</t>
        </is>
      </c>
      <c r="D137" s="6" t="n">
        <v>11985</v>
      </c>
      <c r="E137" s="6" t="n">
        <v>5</v>
      </c>
      <c r="F137" s="6" t="n">
        <v>0</v>
      </c>
      <c r="G137" s="6" t="n">
        <v>4</v>
      </c>
      <c r="H137" s="6" t="n">
        <v>0</v>
      </c>
      <c r="I137" s="6" t="n">
        <v>3</v>
      </c>
      <c r="J137" s="6" t="n">
        <v>0</v>
      </c>
      <c r="P137" s="7">
        <f>(D137-VLOOKUP(B137,$L$2:$N$61,2,FALSE))/VLOOKUP(B137,$L$2:$N$61,3,FALSE)</f>
        <v/>
      </c>
      <c r="Q137" s="6">
        <f>IF(P137&gt;2.5,1,0)</f>
        <v/>
      </c>
      <c r="R137" s="6">
        <f>IF(G137&gt;4,1,0)</f>
        <v/>
      </c>
      <c r="S137" s="6">
        <f>IF(AND(F137=1,P137&gt;0.5),1,0)</f>
        <v/>
      </c>
      <c r="T137" s="6">
        <f>IF(AND(OR(E137&gt;=23,E137&lt;=5),P137&gt;0),1,0)</f>
        <v/>
      </c>
      <c r="U137" s="6">
        <f>IF(H137=1,1,0)</f>
        <v/>
      </c>
      <c r="V137" s="6">
        <f>IF(I137&gt;=3,1,0)</f>
        <v/>
      </c>
      <c r="W137" s="6">
        <f>Q137*20+R137*15+S137*30+T137*15+U137*25+V137*20</f>
        <v/>
      </c>
      <c r="X137" s="6">
        <f>IF(W137&gt;=40,"REVIEW","OK")</f>
        <v/>
      </c>
    </row>
    <row r="138">
      <c r="A138" s="6" t="inlineStr">
        <is>
          <t>TXN-00137</t>
        </is>
      </c>
      <c r="B138" s="6" t="inlineStr">
        <is>
          <t>ACC-0045</t>
        </is>
      </c>
      <c r="C138" s="6" t="inlineStr">
        <is>
          <t>P2P Transfer</t>
        </is>
      </c>
      <c r="D138" s="6" t="n">
        <v>6529</v>
      </c>
      <c r="E138" s="6" t="n">
        <v>20</v>
      </c>
      <c r="F138" s="6" t="n">
        <v>1</v>
      </c>
      <c r="G138" s="6" t="n">
        <v>1</v>
      </c>
      <c r="H138" s="6" t="n">
        <v>0</v>
      </c>
      <c r="I138" s="6" t="n">
        <v>1</v>
      </c>
      <c r="J138" s="6" t="n">
        <v>0</v>
      </c>
      <c r="P138" s="7">
        <f>(D138-VLOOKUP(B138,$L$2:$N$61,2,FALSE))/VLOOKUP(B138,$L$2:$N$61,3,FALSE)</f>
        <v/>
      </c>
      <c r="Q138" s="6">
        <f>IF(P138&gt;2.5,1,0)</f>
        <v/>
      </c>
      <c r="R138" s="6">
        <f>IF(G138&gt;4,1,0)</f>
        <v/>
      </c>
      <c r="S138" s="6">
        <f>IF(AND(F138=1,P138&gt;0.5),1,0)</f>
        <v/>
      </c>
      <c r="T138" s="6">
        <f>IF(AND(OR(E138&gt;=23,E138&lt;=5),P138&gt;0),1,0)</f>
        <v/>
      </c>
      <c r="U138" s="6">
        <f>IF(H138=1,1,0)</f>
        <v/>
      </c>
      <c r="V138" s="6">
        <f>IF(I138&gt;=3,1,0)</f>
        <v/>
      </c>
      <c r="W138" s="6">
        <f>Q138*20+R138*15+S138*30+T138*15+U138*25+V138*20</f>
        <v/>
      </c>
      <c r="X138" s="6">
        <f>IF(W138&gt;=40,"REVIEW","OK")</f>
        <v/>
      </c>
    </row>
    <row r="139">
      <c r="A139" s="6" t="inlineStr">
        <is>
          <t>TXN-00138</t>
        </is>
      </c>
      <c r="B139" s="6" t="inlineStr">
        <is>
          <t>ACC-0044</t>
        </is>
      </c>
      <c r="C139" s="6" t="inlineStr">
        <is>
          <t>Merchant Payment</t>
        </is>
      </c>
      <c r="D139" s="6" t="n">
        <v>3204</v>
      </c>
      <c r="E139" s="6" t="n">
        <v>6</v>
      </c>
      <c r="F139" s="6" t="n">
        <v>0</v>
      </c>
      <c r="G139" s="6" t="n">
        <v>2</v>
      </c>
      <c r="H139" s="6" t="n">
        <v>0</v>
      </c>
      <c r="I139" s="6" t="n">
        <v>0</v>
      </c>
      <c r="J139" s="6" t="n">
        <v>0</v>
      </c>
      <c r="P139" s="7">
        <f>(D139-VLOOKUP(B139,$L$2:$N$61,2,FALSE))/VLOOKUP(B139,$L$2:$N$61,3,FALSE)</f>
        <v/>
      </c>
      <c r="Q139" s="6">
        <f>IF(P139&gt;2.5,1,0)</f>
        <v/>
      </c>
      <c r="R139" s="6">
        <f>IF(G139&gt;4,1,0)</f>
        <v/>
      </c>
      <c r="S139" s="6">
        <f>IF(AND(F139=1,P139&gt;0.5),1,0)</f>
        <v/>
      </c>
      <c r="T139" s="6">
        <f>IF(AND(OR(E139&gt;=23,E139&lt;=5),P139&gt;0),1,0)</f>
        <v/>
      </c>
      <c r="U139" s="6">
        <f>IF(H139=1,1,0)</f>
        <v/>
      </c>
      <c r="V139" s="6">
        <f>IF(I139&gt;=3,1,0)</f>
        <v/>
      </c>
      <c r="W139" s="6">
        <f>Q139*20+R139*15+S139*30+T139*15+U139*25+V139*20</f>
        <v/>
      </c>
      <c r="X139" s="6">
        <f>IF(W139&gt;=40,"REVIEW","OK")</f>
        <v/>
      </c>
    </row>
    <row r="140">
      <c r="A140" s="6" t="inlineStr">
        <is>
          <t>TXN-00139</t>
        </is>
      </c>
      <c r="B140" s="6" t="inlineStr">
        <is>
          <t>ACC-0058</t>
        </is>
      </c>
      <c r="C140" s="6" t="inlineStr">
        <is>
          <t>P2P Transfer</t>
        </is>
      </c>
      <c r="D140" s="6" t="n">
        <v>13226</v>
      </c>
      <c r="E140" s="6" t="n">
        <v>23</v>
      </c>
      <c r="F140" s="6" t="n">
        <v>0</v>
      </c>
      <c r="G140" s="6" t="n">
        <v>2</v>
      </c>
      <c r="H140" s="6" t="n">
        <v>1</v>
      </c>
      <c r="I140" s="6" t="n">
        <v>0</v>
      </c>
      <c r="J140" s="6" t="n">
        <v>0</v>
      </c>
      <c r="P140" s="7">
        <f>(D140-VLOOKUP(B140,$L$2:$N$61,2,FALSE))/VLOOKUP(B140,$L$2:$N$61,3,FALSE)</f>
        <v/>
      </c>
      <c r="Q140" s="6">
        <f>IF(P140&gt;2.5,1,0)</f>
        <v/>
      </c>
      <c r="R140" s="6">
        <f>IF(G140&gt;4,1,0)</f>
        <v/>
      </c>
      <c r="S140" s="6">
        <f>IF(AND(F140=1,P140&gt;0.5),1,0)</f>
        <v/>
      </c>
      <c r="T140" s="6">
        <f>IF(AND(OR(E140&gt;=23,E140&lt;=5),P140&gt;0),1,0)</f>
        <v/>
      </c>
      <c r="U140" s="6">
        <f>IF(H140=1,1,0)</f>
        <v/>
      </c>
      <c r="V140" s="6">
        <f>IF(I140&gt;=3,1,0)</f>
        <v/>
      </c>
      <c r="W140" s="6">
        <f>Q140*20+R140*15+S140*30+T140*15+U140*25+V140*20</f>
        <v/>
      </c>
      <c r="X140" s="6">
        <f>IF(W140&gt;=40,"REVIEW","OK")</f>
        <v/>
      </c>
    </row>
    <row r="141">
      <c r="A141" s="6" t="inlineStr">
        <is>
          <t>TXN-00140</t>
        </is>
      </c>
      <c r="B141" s="6" t="inlineStr">
        <is>
          <t>ACC-0058</t>
        </is>
      </c>
      <c r="C141" s="6" t="inlineStr">
        <is>
          <t>P2P Transfer</t>
        </is>
      </c>
      <c r="D141" s="6" t="n">
        <v>8135</v>
      </c>
      <c r="E141" s="6" t="n">
        <v>4</v>
      </c>
      <c r="F141" s="6" t="n">
        <v>1</v>
      </c>
      <c r="G141" s="6" t="n">
        <v>1</v>
      </c>
      <c r="H141" s="6" t="n">
        <v>1</v>
      </c>
      <c r="I141" s="6" t="n">
        <v>0</v>
      </c>
      <c r="J141" s="6" t="n">
        <v>0</v>
      </c>
      <c r="P141" s="7">
        <f>(D141-VLOOKUP(B141,$L$2:$N$61,2,FALSE))/VLOOKUP(B141,$L$2:$N$61,3,FALSE)</f>
        <v/>
      </c>
      <c r="Q141" s="6">
        <f>IF(P141&gt;2.5,1,0)</f>
        <v/>
      </c>
      <c r="R141" s="6">
        <f>IF(G141&gt;4,1,0)</f>
        <v/>
      </c>
      <c r="S141" s="6">
        <f>IF(AND(F141=1,P141&gt;0.5),1,0)</f>
        <v/>
      </c>
      <c r="T141" s="6">
        <f>IF(AND(OR(E141&gt;=23,E141&lt;=5),P141&gt;0),1,0)</f>
        <v/>
      </c>
      <c r="U141" s="6">
        <f>IF(H141=1,1,0)</f>
        <v/>
      </c>
      <c r="V141" s="6">
        <f>IF(I141&gt;=3,1,0)</f>
        <v/>
      </c>
      <c r="W141" s="6">
        <f>Q141*20+R141*15+S141*30+T141*15+U141*25+V141*20</f>
        <v/>
      </c>
      <c r="X141" s="6">
        <f>IF(W141&gt;=40,"REVIEW","OK")</f>
        <v/>
      </c>
    </row>
    <row r="142">
      <c r="A142" s="6" t="inlineStr">
        <is>
          <t>TXN-00141</t>
        </is>
      </c>
      <c r="B142" s="6" t="inlineStr">
        <is>
          <t>ACC-0032</t>
        </is>
      </c>
      <c r="C142" s="6" t="inlineStr">
        <is>
          <t>Cash Withdrawal (Agent)</t>
        </is>
      </c>
      <c r="D142" s="6" t="n">
        <v>10377</v>
      </c>
      <c r="E142" s="6" t="n">
        <v>17</v>
      </c>
      <c r="F142" s="6" t="n">
        <v>0</v>
      </c>
      <c r="G142" s="6" t="n">
        <v>2</v>
      </c>
      <c r="H142" s="6" t="n">
        <v>0</v>
      </c>
      <c r="I142" s="6" t="n">
        <v>0</v>
      </c>
      <c r="J142" s="6" t="n">
        <v>0</v>
      </c>
      <c r="P142" s="7">
        <f>(D142-VLOOKUP(B142,$L$2:$N$61,2,FALSE))/VLOOKUP(B142,$L$2:$N$61,3,FALSE)</f>
        <v/>
      </c>
      <c r="Q142" s="6">
        <f>IF(P142&gt;2.5,1,0)</f>
        <v/>
      </c>
      <c r="R142" s="6">
        <f>IF(G142&gt;4,1,0)</f>
        <v/>
      </c>
      <c r="S142" s="6">
        <f>IF(AND(F142=1,P142&gt;0.5),1,0)</f>
        <v/>
      </c>
      <c r="T142" s="6">
        <f>IF(AND(OR(E142&gt;=23,E142&lt;=5),P142&gt;0),1,0)</f>
        <v/>
      </c>
      <c r="U142" s="6">
        <f>IF(H142=1,1,0)</f>
        <v/>
      </c>
      <c r="V142" s="6">
        <f>IF(I142&gt;=3,1,0)</f>
        <v/>
      </c>
      <c r="W142" s="6">
        <f>Q142*20+R142*15+S142*30+T142*15+U142*25+V142*20</f>
        <v/>
      </c>
      <c r="X142" s="6">
        <f>IF(W142&gt;=40,"REVIEW","OK")</f>
        <v/>
      </c>
    </row>
    <row r="143">
      <c r="A143" s="6" t="inlineStr">
        <is>
          <t>TXN-00142</t>
        </is>
      </c>
      <c r="B143" s="6" t="inlineStr">
        <is>
          <t>ACC-0045</t>
        </is>
      </c>
      <c r="C143" s="6" t="inlineStr">
        <is>
          <t>Merchant Payment</t>
        </is>
      </c>
      <c r="D143" s="6" t="n">
        <v>5195</v>
      </c>
      <c r="E143" s="6" t="n">
        <v>21</v>
      </c>
      <c r="F143" s="6" t="n">
        <v>0</v>
      </c>
      <c r="G143" s="6" t="n">
        <v>1</v>
      </c>
      <c r="H143" s="6" t="n">
        <v>0</v>
      </c>
      <c r="I143" s="6" t="n">
        <v>0</v>
      </c>
      <c r="J143" s="6" t="n">
        <v>0</v>
      </c>
      <c r="P143" s="7">
        <f>(D143-VLOOKUP(B143,$L$2:$N$61,2,FALSE))/VLOOKUP(B143,$L$2:$N$61,3,FALSE)</f>
        <v/>
      </c>
      <c r="Q143" s="6">
        <f>IF(P143&gt;2.5,1,0)</f>
        <v/>
      </c>
      <c r="R143" s="6">
        <f>IF(G143&gt;4,1,0)</f>
        <v/>
      </c>
      <c r="S143" s="6">
        <f>IF(AND(F143=1,P143&gt;0.5),1,0)</f>
        <v/>
      </c>
      <c r="T143" s="6">
        <f>IF(AND(OR(E143&gt;=23,E143&lt;=5),P143&gt;0),1,0)</f>
        <v/>
      </c>
      <c r="U143" s="6">
        <f>IF(H143=1,1,0)</f>
        <v/>
      </c>
      <c r="V143" s="6">
        <f>IF(I143&gt;=3,1,0)</f>
        <v/>
      </c>
      <c r="W143" s="6">
        <f>Q143*20+R143*15+S143*30+T143*15+U143*25+V143*20</f>
        <v/>
      </c>
      <c r="X143" s="6">
        <f>IF(W143&gt;=40,"REVIEW","OK")</f>
        <v/>
      </c>
    </row>
    <row r="144">
      <c r="A144" s="6" t="inlineStr">
        <is>
          <t>TXN-00143</t>
        </is>
      </c>
      <c r="B144" s="6" t="inlineStr">
        <is>
          <t>ACC-0038</t>
        </is>
      </c>
      <c r="C144" s="6" t="inlineStr">
        <is>
          <t>Merchant Payment</t>
        </is>
      </c>
      <c r="D144" s="6" t="n">
        <v>4453</v>
      </c>
      <c r="E144" s="6" t="n">
        <v>21</v>
      </c>
      <c r="F144" s="6" t="n">
        <v>0</v>
      </c>
      <c r="G144" s="6" t="n">
        <v>1</v>
      </c>
      <c r="H144" s="6" t="n">
        <v>0</v>
      </c>
      <c r="I144" s="6" t="n">
        <v>0</v>
      </c>
      <c r="J144" s="6" t="n">
        <v>0</v>
      </c>
      <c r="P144" s="7">
        <f>(D144-VLOOKUP(B144,$L$2:$N$61,2,FALSE))/VLOOKUP(B144,$L$2:$N$61,3,FALSE)</f>
        <v/>
      </c>
      <c r="Q144" s="6">
        <f>IF(P144&gt;2.5,1,0)</f>
        <v/>
      </c>
      <c r="R144" s="6">
        <f>IF(G144&gt;4,1,0)</f>
        <v/>
      </c>
      <c r="S144" s="6">
        <f>IF(AND(F144=1,P144&gt;0.5),1,0)</f>
        <v/>
      </c>
      <c r="T144" s="6">
        <f>IF(AND(OR(E144&gt;=23,E144&lt;=5),P144&gt;0),1,0)</f>
        <v/>
      </c>
      <c r="U144" s="6">
        <f>IF(H144=1,1,0)</f>
        <v/>
      </c>
      <c r="V144" s="6">
        <f>IF(I144&gt;=3,1,0)</f>
        <v/>
      </c>
      <c r="W144" s="6">
        <f>Q144*20+R144*15+S144*30+T144*15+U144*25+V144*20</f>
        <v/>
      </c>
      <c r="X144" s="6">
        <f>IF(W144&gt;=40,"REVIEW","OK")</f>
        <v/>
      </c>
    </row>
    <row r="145">
      <c r="A145" s="6" t="inlineStr">
        <is>
          <t>TXN-00144</t>
        </is>
      </c>
      <c r="B145" s="6" t="inlineStr">
        <is>
          <t>ACC-0031</t>
        </is>
      </c>
      <c r="C145" s="6" t="inlineStr">
        <is>
          <t>Merchant Payment</t>
        </is>
      </c>
      <c r="D145" s="6" t="n">
        <v>5420</v>
      </c>
      <c r="E145" s="6" t="n">
        <v>2</v>
      </c>
      <c r="F145" s="6" t="n">
        <v>0</v>
      </c>
      <c r="G145" s="6" t="n">
        <v>4</v>
      </c>
      <c r="H145" s="6" t="n">
        <v>1</v>
      </c>
      <c r="I145" s="6" t="n">
        <v>0</v>
      </c>
      <c r="J145" s="6" t="n">
        <v>0</v>
      </c>
      <c r="P145" s="7">
        <f>(D145-VLOOKUP(B145,$L$2:$N$61,2,FALSE))/VLOOKUP(B145,$L$2:$N$61,3,FALSE)</f>
        <v/>
      </c>
      <c r="Q145" s="6">
        <f>IF(P145&gt;2.5,1,0)</f>
        <v/>
      </c>
      <c r="R145" s="6">
        <f>IF(G145&gt;4,1,0)</f>
        <v/>
      </c>
      <c r="S145" s="6">
        <f>IF(AND(F145=1,P145&gt;0.5),1,0)</f>
        <v/>
      </c>
      <c r="T145" s="6">
        <f>IF(AND(OR(E145&gt;=23,E145&lt;=5),P145&gt;0),1,0)</f>
        <v/>
      </c>
      <c r="U145" s="6">
        <f>IF(H145=1,1,0)</f>
        <v/>
      </c>
      <c r="V145" s="6">
        <f>IF(I145&gt;=3,1,0)</f>
        <v/>
      </c>
      <c r="W145" s="6">
        <f>Q145*20+R145*15+S145*30+T145*15+U145*25+V145*20</f>
        <v/>
      </c>
      <c r="X145" s="6">
        <f>IF(W145&gt;=40,"REVIEW","OK")</f>
        <v/>
      </c>
    </row>
    <row r="146">
      <c r="A146" s="6" t="inlineStr">
        <is>
          <t>TXN-00145</t>
        </is>
      </c>
      <c r="B146" s="6" t="inlineStr">
        <is>
          <t>ACC-0051</t>
        </is>
      </c>
      <c r="C146" s="6" t="inlineStr">
        <is>
          <t>Cash Withdrawal (Agent)</t>
        </is>
      </c>
      <c r="D146" s="6" t="n">
        <v>8162</v>
      </c>
      <c r="E146" s="6" t="n">
        <v>15</v>
      </c>
      <c r="F146" s="6" t="n">
        <v>0</v>
      </c>
      <c r="G146" s="6" t="n">
        <v>1</v>
      </c>
      <c r="H146" s="6" t="n">
        <v>1</v>
      </c>
      <c r="I146" s="6" t="n">
        <v>0</v>
      </c>
      <c r="J146" s="6" t="n">
        <v>0</v>
      </c>
      <c r="P146" s="7">
        <f>(D146-VLOOKUP(B146,$L$2:$N$61,2,FALSE))/VLOOKUP(B146,$L$2:$N$61,3,FALSE)</f>
        <v/>
      </c>
      <c r="Q146" s="6">
        <f>IF(P146&gt;2.5,1,0)</f>
        <v/>
      </c>
      <c r="R146" s="6">
        <f>IF(G146&gt;4,1,0)</f>
        <v/>
      </c>
      <c r="S146" s="6">
        <f>IF(AND(F146=1,P146&gt;0.5),1,0)</f>
        <v/>
      </c>
      <c r="T146" s="6">
        <f>IF(AND(OR(E146&gt;=23,E146&lt;=5),P146&gt;0),1,0)</f>
        <v/>
      </c>
      <c r="U146" s="6">
        <f>IF(H146=1,1,0)</f>
        <v/>
      </c>
      <c r="V146" s="6">
        <f>IF(I146&gt;=3,1,0)</f>
        <v/>
      </c>
      <c r="W146" s="6">
        <f>Q146*20+R146*15+S146*30+T146*15+U146*25+V146*20</f>
        <v/>
      </c>
      <c r="X146" s="6">
        <f>IF(W146&gt;=40,"REVIEW","OK")</f>
        <v/>
      </c>
    </row>
    <row r="147">
      <c r="A147" s="6" t="inlineStr">
        <is>
          <t>TXN-00146</t>
        </is>
      </c>
      <c r="B147" s="6" t="inlineStr">
        <is>
          <t>ACC-0003</t>
        </is>
      </c>
      <c r="C147" s="6" t="inlineStr">
        <is>
          <t>Cash Withdrawal (Agent)</t>
        </is>
      </c>
      <c r="D147" s="6" t="n">
        <v>6996</v>
      </c>
      <c r="E147" s="6" t="n">
        <v>16</v>
      </c>
      <c r="F147" s="6" t="n">
        <v>0</v>
      </c>
      <c r="G147" s="6" t="n">
        <v>3</v>
      </c>
      <c r="H147" s="6" t="n">
        <v>0</v>
      </c>
      <c r="I147" s="6" t="n">
        <v>0</v>
      </c>
      <c r="J147" s="6" t="n">
        <v>0</v>
      </c>
      <c r="P147" s="7">
        <f>(D147-VLOOKUP(B147,$L$2:$N$61,2,FALSE))/VLOOKUP(B147,$L$2:$N$61,3,FALSE)</f>
        <v/>
      </c>
      <c r="Q147" s="6">
        <f>IF(P147&gt;2.5,1,0)</f>
        <v/>
      </c>
      <c r="R147" s="6">
        <f>IF(G147&gt;4,1,0)</f>
        <v/>
      </c>
      <c r="S147" s="6">
        <f>IF(AND(F147=1,P147&gt;0.5),1,0)</f>
        <v/>
      </c>
      <c r="T147" s="6">
        <f>IF(AND(OR(E147&gt;=23,E147&lt;=5),P147&gt;0),1,0)</f>
        <v/>
      </c>
      <c r="U147" s="6">
        <f>IF(H147=1,1,0)</f>
        <v/>
      </c>
      <c r="V147" s="6">
        <f>IF(I147&gt;=3,1,0)</f>
        <v/>
      </c>
      <c r="W147" s="6">
        <f>Q147*20+R147*15+S147*30+T147*15+U147*25+V147*20</f>
        <v/>
      </c>
      <c r="X147" s="6">
        <f>IF(W147&gt;=40,"REVIEW","OK")</f>
        <v/>
      </c>
    </row>
    <row r="148">
      <c r="A148" s="6" t="inlineStr">
        <is>
          <t>TXN-00147</t>
        </is>
      </c>
      <c r="B148" s="6" t="inlineStr">
        <is>
          <t>ACC-0054</t>
        </is>
      </c>
      <c r="C148" s="6" t="inlineStr">
        <is>
          <t>P2P Transfer</t>
        </is>
      </c>
      <c r="D148" s="6" t="n">
        <v>6753</v>
      </c>
      <c r="E148" s="6" t="n">
        <v>8</v>
      </c>
      <c r="F148" s="6" t="n">
        <v>1</v>
      </c>
      <c r="G148" s="6" t="n">
        <v>2</v>
      </c>
      <c r="H148" s="6" t="n">
        <v>0</v>
      </c>
      <c r="I148" s="6" t="n">
        <v>0</v>
      </c>
      <c r="J148" s="6" t="n">
        <v>0</v>
      </c>
      <c r="P148" s="7">
        <f>(D148-VLOOKUP(B148,$L$2:$N$61,2,FALSE))/VLOOKUP(B148,$L$2:$N$61,3,FALSE)</f>
        <v/>
      </c>
      <c r="Q148" s="6">
        <f>IF(P148&gt;2.5,1,0)</f>
        <v/>
      </c>
      <c r="R148" s="6">
        <f>IF(G148&gt;4,1,0)</f>
        <v/>
      </c>
      <c r="S148" s="6">
        <f>IF(AND(F148=1,P148&gt;0.5),1,0)</f>
        <v/>
      </c>
      <c r="T148" s="6">
        <f>IF(AND(OR(E148&gt;=23,E148&lt;=5),P148&gt;0),1,0)</f>
        <v/>
      </c>
      <c r="U148" s="6">
        <f>IF(H148=1,1,0)</f>
        <v/>
      </c>
      <c r="V148" s="6">
        <f>IF(I148&gt;=3,1,0)</f>
        <v/>
      </c>
      <c r="W148" s="6">
        <f>Q148*20+R148*15+S148*30+T148*15+U148*25+V148*20</f>
        <v/>
      </c>
      <c r="X148" s="6">
        <f>IF(W148&gt;=40,"REVIEW","OK")</f>
        <v/>
      </c>
    </row>
    <row r="149">
      <c r="A149" s="6" t="inlineStr">
        <is>
          <t>TXN-00148</t>
        </is>
      </c>
      <c r="B149" s="6" t="inlineStr">
        <is>
          <t>ACC-0049</t>
        </is>
      </c>
      <c r="C149" s="6" t="inlineStr">
        <is>
          <t>Cash Withdrawal (Agent)</t>
        </is>
      </c>
      <c r="D149" s="6" t="n">
        <v>2501</v>
      </c>
      <c r="E149" s="6" t="n">
        <v>15</v>
      </c>
      <c r="F149" s="6" t="n">
        <v>0</v>
      </c>
      <c r="G149" s="6" t="n">
        <v>2</v>
      </c>
      <c r="H149" s="6" t="n">
        <v>1</v>
      </c>
      <c r="I149" s="6" t="n">
        <v>0</v>
      </c>
      <c r="J149" s="6" t="n">
        <v>0</v>
      </c>
      <c r="P149" s="7">
        <f>(D149-VLOOKUP(B149,$L$2:$N$61,2,FALSE))/VLOOKUP(B149,$L$2:$N$61,3,FALSE)</f>
        <v/>
      </c>
      <c r="Q149" s="6">
        <f>IF(P149&gt;2.5,1,0)</f>
        <v/>
      </c>
      <c r="R149" s="6">
        <f>IF(G149&gt;4,1,0)</f>
        <v/>
      </c>
      <c r="S149" s="6">
        <f>IF(AND(F149=1,P149&gt;0.5),1,0)</f>
        <v/>
      </c>
      <c r="T149" s="6">
        <f>IF(AND(OR(E149&gt;=23,E149&lt;=5),P149&gt;0),1,0)</f>
        <v/>
      </c>
      <c r="U149" s="6">
        <f>IF(H149=1,1,0)</f>
        <v/>
      </c>
      <c r="V149" s="6">
        <f>IF(I149&gt;=3,1,0)</f>
        <v/>
      </c>
      <c r="W149" s="6">
        <f>Q149*20+R149*15+S149*30+T149*15+U149*25+V149*20</f>
        <v/>
      </c>
      <c r="X149" s="6">
        <f>IF(W149&gt;=40,"REVIEW","OK")</f>
        <v/>
      </c>
    </row>
    <row r="150">
      <c r="A150" s="6" t="inlineStr">
        <is>
          <t>TXN-00149</t>
        </is>
      </c>
      <c r="B150" s="6" t="inlineStr">
        <is>
          <t>ACC-0039</t>
        </is>
      </c>
      <c r="C150" s="6" t="inlineStr">
        <is>
          <t>Airtime Top-up</t>
        </is>
      </c>
      <c r="D150" s="6" t="n">
        <v>10508</v>
      </c>
      <c r="E150" s="6" t="n">
        <v>9</v>
      </c>
      <c r="F150" s="6" t="n">
        <v>0</v>
      </c>
      <c r="G150" s="6" t="n">
        <v>2</v>
      </c>
      <c r="H150" s="6" t="n">
        <v>1</v>
      </c>
      <c r="I150" s="6" t="n">
        <v>2</v>
      </c>
      <c r="J150" s="6" t="n">
        <v>0</v>
      </c>
      <c r="P150" s="7">
        <f>(D150-VLOOKUP(B150,$L$2:$N$61,2,FALSE))/VLOOKUP(B150,$L$2:$N$61,3,FALSE)</f>
        <v/>
      </c>
      <c r="Q150" s="6">
        <f>IF(P150&gt;2.5,1,0)</f>
        <v/>
      </c>
      <c r="R150" s="6">
        <f>IF(G150&gt;4,1,0)</f>
        <v/>
      </c>
      <c r="S150" s="6">
        <f>IF(AND(F150=1,P150&gt;0.5),1,0)</f>
        <v/>
      </c>
      <c r="T150" s="6">
        <f>IF(AND(OR(E150&gt;=23,E150&lt;=5),P150&gt;0),1,0)</f>
        <v/>
      </c>
      <c r="U150" s="6">
        <f>IF(H150=1,1,0)</f>
        <v/>
      </c>
      <c r="V150" s="6">
        <f>IF(I150&gt;=3,1,0)</f>
        <v/>
      </c>
      <c r="W150" s="6">
        <f>Q150*20+R150*15+S150*30+T150*15+U150*25+V150*20</f>
        <v/>
      </c>
      <c r="X150" s="6">
        <f>IF(W150&gt;=40,"REVIEW","OK")</f>
        <v/>
      </c>
    </row>
    <row r="151">
      <c r="A151" s="6" t="inlineStr">
        <is>
          <t>TXN-00150</t>
        </is>
      </c>
      <c r="B151" s="6" t="inlineStr">
        <is>
          <t>ACC-0004</t>
        </is>
      </c>
      <c r="C151" s="6" t="inlineStr">
        <is>
          <t>P2P Transfer</t>
        </is>
      </c>
      <c r="D151" s="6" t="n">
        <v>4768</v>
      </c>
      <c r="E151" s="6" t="n">
        <v>20</v>
      </c>
      <c r="F151" s="6" t="n">
        <v>0</v>
      </c>
      <c r="G151" s="6" t="n">
        <v>3</v>
      </c>
      <c r="H151" s="6" t="n">
        <v>0</v>
      </c>
      <c r="I151" s="6" t="n">
        <v>0</v>
      </c>
      <c r="J151" s="6" t="n">
        <v>0</v>
      </c>
      <c r="P151" s="7">
        <f>(D151-VLOOKUP(B151,$L$2:$N$61,2,FALSE))/VLOOKUP(B151,$L$2:$N$61,3,FALSE)</f>
        <v/>
      </c>
      <c r="Q151" s="6">
        <f>IF(P151&gt;2.5,1,0)</f>
        <v/>
      </c>
      <c r="R151" s="6">
        <f>IF(G151&gt;4,1,0)</f>
        <v/>
      </c>
      <c r="S151" s="6">
        <f>IF(AND(F151=1,P151&gt;0.5),1,0)</f>
        <v/>
      </c>
      <c r="T151" s="6">
        <f>IF(AND(OR(E151&gt;=23,E151&lt;=5),P151&gt;0),1,0)</f>
        <v/>
      </c>
      <c r="U151" s="6">
        <f>IF(H151=1,1,0)</f>
        <v/>
      </c>
      <c r="V151" s="6">
        <f>IF(I151&gt;=3,1,0)</f>
        <v/>
      </c>
      <c r="W151" s="6">
        <f>Q151*20+R151*15+S151*30+T151*15+U151*25+V151*20</f>
        <v/>
      </c>
      <c r="X151" s="6">
        <f>IF(W151&gt;=40,"REVIEW","OK")</f>
        <v/>
      </c>
    </row>
    <row r="152">
      <c r="A152" s="6" t="inlineStr">
        <is>
          <t>TXN-00151</t>
        </is>
      </c>
      <c r="B152" s="6" t="inlineStr">
        <is>
          <t>ACC-0056</t>
        </is>
      </c>
      <c r="C152" s="6" t="inlineStr">
        <is>
          <t>Merchant Payment</t>
        </is>
      </c>
      <c r="D152" s="6" t="n">
        <v>4787</v>
      </c>
      <c r="E152" s="6" t="n">
        <v>13</v>
      </c>
      <c r="F152" s="6" t="n">
        <v>0</v>
      </c>
      <c r="G152" s="6" t="n">
        <v>1</v>
      </c>
      <c r="H152" s="6" t="n">
        <v>0</v>
      </c>
      <c r="I152" s="6" t="n">
        <v>3</v>
      </c>
      <c r="J152" s="6" t="n">
        <v>0</v>
      </c>
      <c r="P152" s="7">
        <f>(D152-VLOOKUP(B152,$L$2:$N$61,2,FALSE))/VLOOKUP(B152,$L$2:$N$61,3,FALSE)</f>
        <v/>
      </c>
      <c r="Q152" s="6">
        <f>IF(P152&gt;2.5,1,0)</f>
        <v/>
      </c>
      <c r="R152" s="6">
        <f>IF(G152&gt;4,1,0)</f>
        <v/>
      </c>
      <c r="S152" s="6">
        <f>IF(AND(F152=1,P152&gt;0.5),1,0)</f>
        <v/>
      </c>
      <c r="T152" s="6">
        <f>IF(AND(OR(E152&gt;=23,E152&lt;=5),P152&gt;0),1,0)</f>
        <v/>
      </c>
      <c r="U152" s="6">
        <f>IF(H152=1,1,0)</f>
        <v/>
      </c>
      <c r="V152" s="6">
        <f>IF(I152&gt;=3,1,0)</f>
        <v/>
      </c>
      <c r="W152" s="6">
        <f>Q152*20+R152*15+S152*30+T152*15+U152*25+V152*20</f>
        <v/>
      </c>
      <c r="X152" s="6">
        <f>IF(W152&gt;=40,"REVIEW","OK")</f>
        <v/>
      </c>
    </row>
    <row r="153">
      <c r="A153" s="6" t="inlineStr">
        <is>
          <t>TXN-00152</t>
        </is>
      </c>
      <c r="B153" s="6" t="inlineStr">
        <is>
          <t>ACC-0056</t>
        </is>
      </c>
      <c r="C153" s="6" t="inlineStr">
        <is>
          <t>Airtime Top-up</t>
        </is>
      </c>
      <c r="D153" s="6" t="n">
        <v>7536</v>
      </c>
      <c r="E153" s="6" t="n">
        <v>19</v>
      </c>
      <c r="F153" s="6" t="n">
        <v>0</v>
      </c>
      <c r="G153" s="6" t="n">
        <v>1</v>
      </c>
      <c r="H153" s="6" t="n">
        <v>0</v>
      </c>
      <c r="I153" s="6" t="n">
        <v>0</v>
      </c>
      <c r="J153" s="6" t="n">
        <v>0</v>
      </c>
      <c r="P153" s="7">
        <f>(D153-VLOOKUP(B153,$L$2:$N$61,2,FALSE))/VLOOKUP(B153,$L$2:$N$61,3,FALSE)</f>
        <v/>
      </c>
      <c r="Q153" s="6">
        <f>IF(P153&gt;2.5,1,0)</f>
        <v/>
      </c>
      <c r="R153" s="6">
        <f>IF(G153&gt;4,1,0)</f>
        <v/>
      </c>
      <c r="S153" s="6">
        <f>IF(AND(F153=1,P153&gt;0.5),1,0)</f>
        <v/>
      </c>
      <c r="T153" s="6">
        <f>IF(AND(OR(E153&gt;=23,E153&lt;=5),P153&gt;0),1,0)</f>
        <v/>
      </c>
      <c r="U153" s="6">
        <f>IF(H153=1,1,0)</f>
        <v/>
      </c>
      <c r="V153" s="6">
        <f>IF(I153&gt;=3,1,0)</f>
        <v/>
      </c>
      <c r="W153" s="6">
        <f>Q153*20+R153*15+S153*30+T153*15+U153*25+V153*20</f>
        <v/>
      </c>
      <c r="X153" s="6">
        <f>IF(W153&gt;=40,"REVIEW","OK")</f>
        <v/>
      </c>
    </row>
    <row r="154">
      <c r="A154" s="6" t="inlineStr">
        <is>
          <t>TXN-00153</t>
        </is>
      </c>
      <c r="B154" s="6" t="inlineStr">
        <is>
          <t>ACC-0003</t>
        </is>
      </c>
      <c r="C154" s="6" t="inlineStr">
        <is>
          <t>Merchant Payment</t>
        </is>
      </c>
      <c r="D154" s="6" t="n">
        <v>4443</v>
      </c>
      <c r="E154" s="6" t="n">
        <v>3</v>
      </c>
      <c r="F154" s="6" t="n">
        <v>0</v>
      </c>
      <c r="G154" s="6" t="n">
        <v>1</v>
      </c>
      <c r="H154" s="6" t="n">
        <v>0</v>
      </c>
      <c r="I154" s="6" t="n">
        <v>0</v>
      </c>
      <c r="J154" s="6" t="n">
        <v>0</v>
      </c>
      <c r="P154" s="7">
        <f>(D154-VLOOKUP(B154,$L$2:$N$61,2,FALSE))/VLOOKUP(B154,$L$2:$N$61,3,FALSE)</f>
        <v/>
      </c>
      <c r="Q154" s="6">
        <f>IF(P154&gt;2.5,1,0)</f>
        <v/>
      </c>
      <c r="R154" s="6">
        <f>IF(G154&gt;4,1,0)</f>
        <v/>
      </c>
      <c r="S154" s="6">
        <f>IF(AND(F154=1,P154&gt;0.5),1,0)</f>
        <v/>
      </c>
      <c r="T154" s="6">
        <f>IF(AND(OR(E154&gt;=23,E154&lt;=5),P154&gt;0),1,0)</f>
        <v/>
      </c>
      <c r="U154" s="6">
        <f>IF(H154=1,1,0)</f>
        <v/>
      </c>
      <c r="V154" s="6">
        <f>IF(I154&gt;=3,1,0)</f>
        <v/>
      </c>
      <c r="W154" s="6">
        <f>Q154*20+R154*15+S154*30+T154*15+U154*25+V154*20</f>
        <v/>
      </c>
      <c r="X154" s="6">
        <f>IF(W154&gt;=40,"REVIEW","OK")</f>
        <v/>
      </c>
    </row>
    <row r="155">
      <c r="A155" s="6" t="inlineStr">
        <is>
          <t>TXN-00154</t>
        </is>
      </c>
      <c r="B155" s="6" t="inlineStr">
        <is>
          <t>ACC-0056</t>
        </is>
      </c>
      <c r="C155" s="6" t="inlineStr">
        <is>
          <t>P2P Transfer</t>
        </is>
      </c>
      <c r="D155" s="6" t="n">
        <v>5699</v>
      </c>
      <c r="E155" s="6" t="n">
        <v>22</v>
      </c>
      <c r="F155" s="6" t="n">
        <v>0</v>
      </c>
      <c r="G155" s="6" t="n">
        <v>7</v>
      </c>
      <c r="H155" s="6" t="n">
        <v>0</v>
      </c>
      <c r="I155" s="6" t="n">
        <v>0</v>
      </c>
      <c r="J155" s="6" t="n">
        <v>0</v>
      </c>
      <c r="P155" s="7">
        <f>(D155-VLOOKUP(B155,$L$2:$N$61,2,FALSE))/VLOOKUP(B155,$L$2:$N$61,3,FALSE)</f>
        <v/>
      </c>
      <c r="Q155" s="6">
        <f>IF(P155&gt;2.5,1,0)</f>
        <v/>
      </c>
      <c r="R155" s="6">
        <f>IF(G155&gt;4,1,0)</f>
        <v/>
      </c>
      <c r="S155" s="6">
        <f>IF(AND(F155=1,P155&gt;0.5),1,0)</f>
        <v/>
      </c>
      <c r="T155" s="6">
        <f>IF(AND(OR(E155&gt;=23,E155&lt;=5),P155&gt;0),1,0)</f>
        <v/>
      </c>
      <c r="U155" s="6">
        <f>IF(H155=1,1,0)</f>
        <v/>
      </c>
      <c r="V155" s="6">
        <f>IF(I155&gt;=3,1,0)</f>
        <v/>
      </c>
      <c r="W155" s="6">
        <f>Q155*20+R155*15+S155*30+T155*15+U155*25+V155*20</f>
        <v/>
      </c>
      <c r="X155" s="6">
        <f>IF(W155&gt;=40,"REVIEW","OK")</f>
        <v/>
      </c>
    </row>
    <row r="156">
      <c r="A156" s="6" t="inlineStr">
        <is>
          <t>TXN-00155</t>
        </is>
      </c>
      <c r="B156" s="6" t="inlineStr">
        <is>
          <t>ACC-0008</t>
        </is>
      </c>
      <c r="C156" s="6" t="inlineStr">
        <is>
          <t>Cash Withdrawal (Agent)</t>
        </is>
      </c>
      <c r="D156" s="6" t="n">
        <v>14438</v>
      </c>
      <c r="E156" s="6" t="n">
        <v>9</v>
      </c>
      <c r="F156" s="6" t="n">
        <v>0</v>
      </c>
      <c r="G156" s="6" t="n">
        <v>1</v>
      </c>
      <c r="H156" s="6" t="n">
        <v>0</v>
      </c>
      <c r="I156" s="6" t="n">
        <v>1</v>
      </c>
      <c r="J156" s="6" t="n">
        <v>0</v>
      </c>
      <c r="P156" s="7">
        <f>(D156-VLOOKUP(B156,$L$2:$N$61,2,FALSE))/VLOOKUP(B156,$L$2:$N$61,3,FALSE)</f>
        <v/>
      </c>
      <c r="Q156" s="6">
        <f>IF(P156&gt;2.5,1,0)</f>
        <v/>
      </c>
      <c r="R156" s="6">
        <f>IF(G156&gt;4,1,0)</f>
        <v/>
      </c>
      <c r="S156" s="6">
        <f>IF(AND(F156=1,P156&gt;0.5),1,0)</f>
        <v/>
      </c>
      <c r="T156" s="6">
        <f>IF(AND(OR(E156&gt;=23,E156&lt;=5),P156&gt;0),1,0)</f>
        <v/>
      </c>
      <c r="U156" s="6">
        <f>IF(H156=1,1,0)</f>
        <v/>
      </c>
      <c r="V156" s="6">
        <f>IF(I156&gt;=3,1,0)</f>
        <v/>
      </c>
      <c r="W156" s="6">
        <f>Q156*20+R156*15+S156*30+T156*15+U156*25+V156*20</f>
        <v/>
      </c>
      <c r="X156" s="6">
        <f>IF(W156&gt;=40,"REVIEW","OK")</f>
        <v/>
      </c>
    </row>
    <row r="157">
      <c r="A157" s="6" t="inlineStr">
        <is>
          <t>TXN-00156</t>
        </is>
      </c>
      <c r="B157" s="6" t="inlineStr">
        <is>
          <t>ACC-0039</t>
        </is>
      </c>
      <c r="C157" s="6" t="inlineStr">
        <is>
          <t>Bill Payment</t>
        </is>
      </c>
      <c r="D157" s="6" t="n">
        <v>11263</v>
      </c>
      <c r="E157" s="6" t="n">
        <v>14</v>
      </c>
      <c r="F157" s="6" t="n">
        <v>0</v>
      </c>
      <c r="G157" s="6" t="n">
        <v>3</v>
      </c>
      <c r="H157" s="6" t="n">
        <v>0</v>
      </c>
      <c r="I157" s="6" t="n">
        <v>0</v>
      </c>
      <c r="J157" s="6" t="n">
        <v>0</v>
      </c>
      <c r="P157" s="7">
        <f>(D157-VLOOKUP(B157,$L$2:$N$61,2,FALSE))/VLOOKUP(B157,$L$2:$N$61,3,FALSE)</f>
        <v/>
      </c>
      <c r="Q157" s="6">
        <f>IF(P157&gt;2.5,1,0)</f>
        <v/>
      </c>
      <c r="R157" s="6">
        <f>IF(G157&gt;4,1,0)</f>
        <v/>
      </c>
      <c r="S157" s="6">
        <f>IF(AND(F157=1,P157&gt;0.5),1,0)</f>
        <v/>
      </c>
      <c r="T157" s="6">
        <f>IF(AND(OR(E157&gt;=23,E157&lt;=5),P157&gt;0),1,0)</f>
        <v/>
      </c>
      <c r="U157" s="6">
        <f>IF(H157=1,1,0)</f>
        <v/>
      </c>
      <c r="V157" s="6">
        <f>IF(I157&gt;=3,1,0)</f>
        <v/>
      </c>
      <c r="W157" s="6">
        <f>Q157*20+R157*15+S157*30+T157*15+U157*25+V157*20</f>
        <v/>
      </c>
      <c r="X157" s="6">
        <f>IF(W157&gt;=40,"REVIEW","OK")</f>
        <v/>
      </c>
    </row>
    <row r="158">
      <c r="A158" s="6" t="inlineStr">
        <is>
          <t>TXN-00157</t>
        </is>
      </c>
      <c r="B158" s="6" t="inlineStr">
        <is>
          <t>ACC-0058</t>
        </is>
      </c>
      <c r="C158" s="6" t="inlineStr">
        <is>
          <t>Airtime Top-up</t>
        </is>
      </c>
      <c r="D158" s="6" t="n">
        <v>12656</v>
      </c>
      <c r="E158" s="6" t="n">
        <v>21</v>
      </c>
      <c r="F158" s="6" t="n">
        <v>0</v>
      </c>
      <c r="G158" s="6" t="n">
        <v>3</v>
      </c>
      <c r="H158" s="6" t="n">
        <v>0</v>
      </c>
      <c r="I158" s="6" t="n">
        <v>0</v>
      </c>
      <c r="J158" s="6" t="n">
        <v>0</v>
      </c>
      <c r="P158" s="7">
        <f>(D158-VLOOKUP(B158,$L$2:$N$61,2,FALSE))/VLOOKUP(B158,$L$2:$N$61,3,FALSE)</f>
        <v/>
      </c>
      <c r="Q158" s="6">
        <f>IF(P158&gt;2.5,1,0)</f>
        <v/>
      </c>
      <c r="R158" s="6">
        <f>IF(G158&gt;4,1,0)</f>
        <v/>
      </c>
      <c r="S158" s="6">
        <f>IF(AND(F158=1,P158&gt;0.5),1,0)</f>
        <v/>
      </c>
      <c r="T158" s="6">
        <f>IF(AND(OR(E158&gt;=23,E158&lt;=5),P158&gt;0),1,0)</f>
        <v/>
      </c>
      <c r="U158" s="6">
        <f>IF(H158=1,1,0)</f>
        <v/>
      </c>
      <c r="V158" s="6">
        <f>IF(I158&gt;=3,1,0)</f>
        <v/>
      </c>
      <c r="W158" s="6">
        <f>Q158*20+R158*15+S158*30+T158*15+U158*25+V158*20</f>
        <v/>
      </c>
      <c r="X158" s="6">
        <f>IF(W158&gt;=40,"REVIEW","OK")</f>
        <v/>
      </c>
    </row>
    <row r="159">
      <c r="A159" s="6" t="inlineStr">
        <is>
          <t>TXN-00158</t>
        </is>
      </c>
      <c r="B159" s="6" t="inlineStr">
        <is>
          <t>ACC-0009</t>
        </is>
      </c>
      <c r="C159" s="6" t="inlineStr">
        <is>
          <t>Bill Payment</t>
        </is>
      </c>
      <c r="D159" s="6" t="n">
        <v>2447</v>
      </c>
      <c r="E159" s="6" t="n">
        <v>19</v>
      </c>
      <c r="F159" s="6" t="n">
        <v>0</v>
      </c>
      <c r="G159" s="6" t="n">
        <v>4</v>
      </c>
      <c r="H159" s="6" t="n">
        <v>0</v>
      </c>
      <c r="I159" s="6" t="n">
        <v>0</v>
      </c>
      <c r="J159" s="6" t="n">
        <v>0</v>
      </c>
      <c r="P159" s="7">
        <f>(D159-VLOOKUP(B159,$L$2:$N$61,2,FALSE))/VLOOKUP(B159,$L$2:$N$61,3,FALSE)</f>
        <v/>
      </c>
      <c r="Q159" s="6">
        <f>IF(P159&gt;2.5,1,0)</f>
        <v/>
      </c>
      <c r="R159" s="6">
        <f>IF(G159&gt;4,1,0)</f>
        <v/>
      </c>
      <c r="S159" s="6">
        <f>IF(AND(F159=1,P159&gt;0.5),1,0)</f>
        <v/>
      </c>
      <c r="T159" s="6">
        <f>IF(AND(OR(E159&gt;=23,E159&lt;=5),P159&gt;0),1,0)</f>
        <v/>
      </c>
      <c r="U159" s="6">
        <f>IF(H159=1,1,0)</f>
        <v/>
      </c>
      <c r="V159" s="6">
        <f>IF(I159&gt;=3,1,0)</f>
        <v/>
      </c>
      <c r="W159" s="6">
        <f>Q159*20+R159*15+S159*30+T159*15+U159*25+V159*20</f>
        <v/>
      </c>
      <c r="X159" s="6">
        <f>IF(W159&gt;=40,"REVIEW","OK")</f>
        <v/>
      </c>
    </row>
    <row r="160">
      <c r="A160" s="6" t="inlineStr">
        <is>
          <t>TXN-00159</t>
        </is>
      </c>
      <c r="B160" s="6" t="inlineStr">
        <is>
          <t>ACC-0060</t>
        </is>
      </c>
      <c r="C160" s="6" t="inlineStr">
        <is>
          <t>Bill Payment</t>
        </is>
      </c>
      <c r="D160" s="6" t="n">
        <v>2283</v>
      </c>
      <c r="E160" s="6" t="n">
        <v>2</v>
      </c>
      <c r="F160" s="6" t="n">
        <v>0</v>
      </c>
      <c r="G160" s="6" t="n">
        <v>1</v>
      </c>
      <c r="H160" s="6" t="n">
        <v>0</v>
      </c>
      <c r="I160" s="6" t="n">
        <v>0</v>
      </c>
      <c r="J160" s="6" t="n">
        <v>0</v>
      </c>
      <c r="P160" s="7">
        <f>(D160-VLOOKUP(B160,$L$2:$N$61,2,FALSE))/VLOOKUP(B160,$L$2:$N$61,3,FALSE)</f>
        <v/>
      </c>
      <c r="Q160" s="6">
        <f>IF(P160&gt;2.5,1,0)</f>
        <v/>
      </c>
      <c r="R160" s="6">
        <f>IF(G160&gt;4,1,0)</f>
        <v/>
      </c>
      <c r="S160" s="6">
        <f>IF(AND(F160=1,P160&gt;0.5),1,0)</f>
        <v/>
      </c>
      <c r="T160" s="6">
        <f>IF(AND(OR(E160&gt;=23,E160&lt;=5),P160&gt;0),1,0)</f>
        <v/>
      </c>
      <c r="U160" s="6">
        <f>IF(H160=1,1,0)</f>
        <v/>
      </c>
      <c r="V160" s="6">
        <f>IF(I160&gt;=3,1,0)</f>
        <v/>
      </c>
      <c r="W160" s="6">
        <f>Q160*20+R160*15+S160*30+T160*15+U160*25+V160*20</f>
        <v/>
      </c>
      <c r="X160" s="6">
        <f>IF(W160&gt;=40,"REVIEW","OK")</f>
        <v/>
      </c>
    </row>
    <row r="161">
      <c r="A161" s="6" t="inlineStr">
        <is>
          <t>TXN-00160</t>
        </is>
      </c>
      <c r="B161" s="6" t="inlineStr">
        <is>
          <t>ACC-0021</t>
        </is>
      </c>
      <c r="C161" s="6" t="inlineStr">
        <is>
          <t>P2P Transfer</t>
        </is>
      </c>
      <c r="D161" s="6" t="n">
        <v>8907</v>
      </c>
      <c r="E161" s="6" t="n">
        <v>15</v>
      </c>
      <c r="F161" s="6" t="n">
        <v>1</v>
      </c>
      <c r="G161" s="6" t="n">
        <v>3</v>
      </c>
      <c r="H161" s="6" t="n">
        <v>0</v>
      </c>
      <c r="I161" s="6" t="n">
        <v>0</v>
      </c>
      <c r="J161" s="6" t="n">
        <v>0</v>
      </c>
      <c r="P161" s="7">
        <f>(D161-VLOOKUP(B161,$L$2:$N$61,2,FALSE))/VLOOKUP(B161,$L$2:$N$61,3,FALSE)</f>
        <v/>
      </c>
      <c r="Q161" s="6">
        <f>IF(P161&gt;2.5,1,0)</f>
        <v/>
      </c>
      <c r="R161" s="6">
        <f>IF(G161&gt;4,1,0)</f>
        <v/>
      </c>
      <c r="S161" s="6">
        <f>IF(AND(F161=1,P161&gt;0.5),1,0)</f>
        <v/>
      </c>
      <c r="T161" s="6">
        <f>IF(AND(OR(E161&gt;=23,E161&lt;=5),P161&gt;0),1,0)</f>
        <v/>
      </c>
      <c r="U161" s="6">
        <f>IF(H161=1,1,0)</f>
        <v/>
      </c>
      <c r="V161" s="6">
        <f>IF(I161&gt;=3,1,0)</f>
        <v/>
      </c>
      <c r="W161" s="6">
        <f>Q161*20+R161*15+S161*30+T161*15+U161*25+V161*20</f>
        <v/>
      </c>
      <c r="X161" s="6">
        <f>IF(W161&gt;=40,"REVIEW","OK")</f>
        <v/>
      </c>
    </row>
    <row r="162">
      <c r="A162" s="6" t="inlineStr">
        <is>
          <t>TXN-00161</t>
        </is>
      </c>
      <c r="B162" s="6" t="inlineStr">
        <is>
          <t>ACC-0043</t>
        </is>
      </c>
      <c r="C162" s="6" t="inlineStr">
        <is>
          <t>P2P Transfer</t>
        </is>
      </c>
      <c r="D162" s="6" t="n">
        <v>7818</v>
      </c>
      <c r="E162" s="6" t="n">
        <v>18</v>
      </c>
      <c r="F162" s="6" t="n">
        <v>0</v>
      </c>
      <c r="G162" s="6" t="n">
        <v>3</v>
      </c>
      <c r="H162" s="6" t="n">
        <v>0</v>
      </c>
      <c r="I162" s="6" t="n">
        <v>0</v>
      </c>
      <c r="J162" s="6" t="n">
        <v>0</v>
      </c>
      <c r="P162" s="7">
        <f>(D162-VLOOKUP(B162,$L$2:$N$61,2,FALSE))/VLOOKUP(B162,$L$2:$N$61,3,FALSE)</f>
        <v/>
      </c>
      <c r="Q162" s="6">
        <f>IF(P162&gt;2.5,1,0)</f>
        <v/>
      </c>
      <c r="R162" s="6">
        <f>IF(G162&gt;4,1,0)</f>
        <v/>
      </c>
      <c r="S162" s="6">
        <f>IF(AND(F162=1,P162&gt;0.5),1,0)</f>
        <v/>
      </c>
      <c r="T162" s="6">
        <f>IF(AND(OR(E162&gt;=23,E162&lt;=5),P162&gt;0),1,0)</f>
        <v/>
      </c>
      <c r="U162" s="6">
        <f>IF(H162=1,1,0)</f>
        <v/>
      </c>
      <c r="V162" s="6">
        <f>IF(I162&gt;=3,1,0)</f>
        <v/>
      </c>
      <c r="W162" s="6">
        <f>Q162*20+R162*15+S162*30+T162*15+U162*25+V162*20</f>
        <v/>
      </c>
      <c r="X162" s="6">
        <f>IF(W162&gt;=40,"REVIEW","OK")</f>
        <v/>
      </c>
    </row>
    <row r="163">
      <c r="A163" s="6" t="inlineStr">
        <is>
          <t>TXN-00162</t>
        </is>
      </c>
      <c r="B163" s="6" t="inlineStr">
        <is>
          <t>ACC-0033</t>
        </is>
      </c>
      <c r="C163" s="6" t="inlineStr">
        <is>
          <t>Bill Payment</t>
        </is>
      </c>
      <c r="D163" s="6" t="n">
        <v>7424</v>
      </c>
      <c r="E163" s="6" t="n">
        <v>1</v>
      </c>
      <c r="F163" s="6" t="n">
        <v>0</v>
      </c>
      <c r="G163" s="6" t="n">
        <v>7</v>
      </c>
      <c r="H163" s="6" t="n">
        <v>0</v>
      </c>
      <c r="I163" s="6" t="n">
        <v>2</v>
      </c>
      <c r="J163" s="6" t="n">
        <v>0</v>
      </c>
      <c r="P163" s="7">
        <f>(D163-VLOOKUP(B163,$L$2:$N$61,2,FALSE))/VLOOKUP(B163,$L$2:$N$61,3,FALSE)</f>
        <v/>
      </c>
      <c r="Q163" s="6">
        <f>IF(P163&gt;2.5,1,0)</f>
        <v/>
      </c>
      <c r="R163" s="6">
        <f>IF(G163&gt;4,1,0)</f>
        <v/>
      </c>
      <c r="S163" s="6">
        <f>IF(AND(F163=1,P163&gt;0.5),1,0)</f>
        <v/>
      </c>
      <c r="T163" s="6">
        <f>IF(AND(OR(E163&gt;=23,E163&lt;=5),P163&gt;0),1,0)</f>
        <v/>
      </c>
      <c r="U163" s="6">
        <f>IF(H163=1,1,0)</f>
        <v/>
      </c>
      <c r="V163" s="6">
        <f>IF(I163&gt;=3,1,0)</f>
        <v/>
      </c>
      <c r="W163" s="6">
        <f>Q163*20+R163*15+S163*30+T163*15+U163*25+V163*20</f>
        <v/>
      </c>
      <c r="X163" s="6">
        <f>IF(W163&gt;=40,"REVIEW","OK")</f>
        <v/>
      </c>
    </row>
    <row r="164">
      <c r="A164" s="6" t="inlineStr">
        <is>
          <t>TXN-00163</t>
        </is>
      </c>
      <c r="B164" s="6" t="inlineStr">
        <is>
          <t>ACC-0044</t>
        </is>
      </c>
      <c r="C164" s="6" t="inlineStr">
        <is>
          <t>Cash Withdrawal (Agent)</t>
        </is>
      </c>
      <c r="D164" s="6" t="n">
        <v>2299</v>
      </c>
      <c r="E164" s="6" t="n">
        <v>17</v>
      </c>
      <c r="F164" s="6" t="n">
        <v>0</v>
      </c>
      <c r="G164" s="6" t="n">
        <v>3</v>
      </c>
      <c r="H164" s="6" t="n">
        <v>0</v>
      </c>
      <c r="I164" s="6" t="n">
        <v>2</v>
      </c>
      <c r="J164" s="6" t="n">
        <v>0</v>
      </c>
      <c r="P164" s="7">
        <f>(D164-VLOOKUP(B164,$L$2:$N$61,2,FALSE))/VLOOKUP(B164,$L$2:$N$61,3,FALSE)</f>
        <v/>
      </c>
      <c r="Q164" s="6">
        <f>IF(P164&gt;2.5,1,0)</f>
        <v/>
      </c>
      <c r="R164" s="6">
        <f>IF(G164&gt;4,1,0)</f>
        <v/>
      </c>
      <c r="S164" s="6">
        <f>IF(AND(F164=1,P164&gt;0.5),1,0)</f>
        <v/>
      </c>
      <c r="T164" s="6">
        <f>IF(AND(OR(E164&gt;=23,E164&lt;=5),P164&gt;0),1,0)</f>
        <v/>
      </c>
      <c r="U164" s="6">
        <f>IF(H164=1,1,0)</f>
        <v/>
      </c>
      <c r="V164" s="6">
        <f>IF(I164&gt;=3,1,0)</f>
        <v/>
      </c>
      <c r="W164" s="6">
        <f>Q164*20+R164*15+S164*30+T164*15+U164*25+V164*20</f>
        <v/>
      </c>
      <c r="X164" s="6">
        <f>IF(W164&gt;=40,"REVIEW","OK")</f>
        <v/>
      </c>
    </row>
    <row r="165">
      <c r="A165" s="6" t="inlineStr">
        <is>
          <t>TXN-00164</t>
        </is>
      </c>
      <c r="B165" s="6" t="inlineStr">
        <is>
          <t>ACC-0048</t>
        </is>
      </c>
      <c r="C165" s="6" t="inlineStr">
        <is>
          <t>P2P Transfer</t>
        </is>
      </c>
      <c r="D165" s="6" t="n">
        <v>11816</v>
      </c>
      <c r="E165" s="6" t="n">
        <v>14</v>
      </c>
      <c r="F165" s="6" t="n">
        <v>0</v>
      </c>
      <c r="G165" s="6" t="n">
        <v>2</v>
      </c>
      <c r="H165" s="6" t="n">
        <v>0</v>
      </c>
      <c r="I165" s="6" t="n">
        <v>0</v>
      </c>
      <c r="J165" s="6" t="n">
        <v>0</v>
      </c>
      <c r="P165" s="7">
        <f>(D165-VLOOKUP(B165,$L$2:$N$61,2,FALSE))/VLOOKUP(B165,$L$2:$N$61,3,FALSE)</f>
        <v/>
      </c>
      <c r="Q165" s="6">
        <f>IF(P165&gt;2.5,1,0)</f>
        <v/>
      </c>
      <c r="R165" s="6">
        <f>IF(G165&gt;4,1,0)</f>
        <v/>
      </c>
      <c r="S165" s="6">
        <f>IF(AND(F165=1,P165&gt;0.5),1,0)</f>
        <v/>
      </c>
      <c r="T165" s="6">
        <f>IF(AND(OR(E165&gt;=23,E165&lt;=5),P165&gt;0),1,0)</f>
        <v/>
      </c>
      <c r="U165" s="6">
        <f>IF(H165=1,1,0)</f>
        <v/>
      </c>
      <c r="V165" s="6">
        <f>IF(I165&gt;=3,1,0)</f>
        <v/>
      </c>
      <c r="W165" s="6">
        <f>Q165*20+R165*15+S165*30+T165*15+U165*25+V165*20</f>
        <v/>
      </c>
      <c r="X165" s="6">
        <f>IF(W165&gt;=40,"REVIEW","OK")</f>
        <v/>
      </c>
    </row>
    <row r="166">
      <c r="A166" s="6" t="inlineStr">
        <is>
          <t>TXN-00165</t>
        </is>
      </c>
      <c r="B166" s="6" t="inlineStr">
        <is>
          <t>ACC-0002</t>
        </is>
      </c>
      <c r="C166" s="6" t="inlineStr">
        <is>
          <t>Cash Withdrawal (Agent)</t>
        </is>
      </c>
      <c r="D166" s="6" t="n">
        <v>13728</v>
      </c>
      <c r="E166" s="6" t="n">
        <v>10</v>
      </c>
      <c r="F166" s="6" t="n">
        <v>0</v>
      </c>
      <c r="G166" s="6" t="n">
        <v>1</v>
      </c>
      <c r="H166" s="6" t="n">
        <v>0</v>
      </c>
      <c r="I166" s="6" t="n">
        <v>0</v>
      </c>
      <c r="J166" s="6" t="n">
        <v>0</v>
      </c>
      <c r="P166" s="7">
        <f>(D166-VLOOKUP(B166,$L$2:$N$61,2,FALSE))/VLOOKUP(B166,$L$2:$N$61,3,FALSE)</f>
        <v/>
      </c>
      <c r="Q166" s="6">
        <f>IF(P166&gt;2.5,1,0)</f>
        <v/>
      </c>
      <c r="R166" s="6">
        <f>IF(G166&gt;4,1,0)</f>
        <v/>
      </c>
      <c r="S166" s="6">
        <f>IF(AND(F166=1,P166&gt;0.5),1,0)</f>
        <v/>
      </c>
      <c r="T166" s="6">
        <f>IF(AND(OR(E166&gt;=23,E166&lt;=5),P166&gt;0),1,0)</f>
        <v/>
      </c>
      <c r="U166" s="6">
        <f>IF(H166=1,1,0)</f>
        <v/>
      </c>
      <c r="V166" s="6">
        <f>IF(I166&gt;=3,1,0)</f>
        <v/>
      </c>
      <c r="W166" s="6">
        <f>Q166*20+R166*15+S166*30+T166*15+U166*25+V166*20</f>
        <v/>
      </c>
      <c r="X166" s="6">
        <f>IF(W166&gt;=40,"REVIEW","OK")</f>
        <v/>
      </c>
    </row>
    <row r="167">
      <c r="A167" s="6" t="inlineStr">
        <is>
          <t>TXN-00166</t>
        </is>
      </c>
      <c r="B167" s="6" t="inlineStr">
        <is>
          <t>ACC-0054</t>
        </is>
      </c>
      <c r="C167" s="6" t="inlineStr">
        <is>
          <t>P2P Transfer</t>
        </is>
      </c>
      <c r="D167" s="6" t="n">
        <v>13549</v>
      </c>
      <c r="E167" s="6" t="n">
        <v>18</v>
      </c>
      <c r="F167" s="6" t="n">
        <v>1</v>
      </c>
      <c r="G167" s="6" t="n">
        <v>1</v>
      </c>
      <c r="H167" s="6" t="n">
        <v>0</v>
      </c>
      <c r="I167" s="6" t="n">
        <v>0</v>
      </c>
      <c r="J167" s="6" t="n">
        <v>0</v>
      </c>
      <c r="P167" s="7">
        <f>(D167-VLOOKUP(B167,$L$2:$N$61,2,FALSE))/VLOOKUP(B167,$L$2:$N$61,3,FALSE)</f>
        <v/>
      </c>
      <c r="Q167" s="6">
        <f>IF(P167&gt;2.5,1,0)</f>
        <v/>
      </c>
      <c r="R167" s="6">
        <f>IF(G167&gt;4,1,0)</f>
        <v/>
      </c>
      <c r="S167" s="6">
        <f>IF(AND(F167=1,P167&gt;0.5),1,0)</f>
        <v/>
      </c>
      <c r="T167" s="6">
        <f>IF(AND(OR(E167&gt;=23,E167&lt;=5),P167&gt;0),1,0)</f>
        <v/>
      </c>
      <c r="U167" s="6">
        <f>IF(H167=1,1,0)</f>
        <v/>
      </c>
      <c r="V167" s="6">
        <f>IF(I167&gt;=3,1,0)</f>
        <v/>
      </c>
      <c r="W167" s="6">
        <f>Q167*20+R167*15+S167*30+T167*15+U167*25+V167*20</f>
        <v/>
      </c>
      <c r="X167" s="6">
        <f>IF(W167&gt;=40,"REVIEW","OK")</f>
        <v/>
      </c>
    </row>
    <row r="168">
      <c r="A168" s="6" t="inlineStr">
        <is>
          <t>TXN-00167</t>
        </is>
      </c>
      <c r="B168" s="6" t="inlineStr">
        <is>
          <t>ACC-0047</t>
        </is>
      </c>
      <c r="C168" s="6" t="inlineStr">
        <is>
          <t>Merchant Payment</t>
        </is>
      </c>
      <c r="D168" s="6" t="n">
        <v>4227</v>
      </c>
      <c r="E168" s="6" t="n">
        <v>20</v>
      </c>
      <c r="F168" s="6" t="n">
        <v>0</v>
      </c>
      <c r="G168" s="6" t="n">
        <v>2</v>
      </c>
      <c r="H168" s="6" t="n">
        <v>0</v>
      </c>
      <c r="I168" s="6" t="n">
        <v>0</v>
      </c>
      <c r="J168" s="6" t="n">
        <v>0</v>
      </c>
      <c r="P168" s="7">
        <f>(D168-VLOOKUP(B168,$L$2:$N$61,2,FALSE))/VLOOKUP(B168,$L$2:$N$61,3,FALSE)</f>
        <v/>
      </c>
      <c r="Q168" s="6">
        <f>IF(P168&gt;2.5,1,0)</f>
        <v/>
      </c>
      <c r="R168" s="6">
        <f>IF(G168&gt;4,1,0)</f>
        <v/>
      </c>
      <c r="S168" s="6">
        <f>IF(AND(F168=1,P168&gt;0.5),1,0)</f>
        <v/>
      </c>
      <c r="T168" s="6">
        <f>IF(AND(OR(E168&gt;=23,E168&lt;=5),P168&gt;0),1,0)</f>
        <v/>
      </c>
      <c r="U168" s="6">
        <f>IF(H168=1,1,0)</f>
        <v/>
      </c>
      <c r="V168" s="6">
        <f>IF(I168&gt;=3,1,0)</f>
        <v/>
      </c>
      <c r="W168" s="6">
        <f>Q168*20+R168*15+S168*30+T168*15+U168*25+V168*20</f>
        <v/>
      </c>
      <c r="X168" s="6">
        <f>IF(W168&gt;=40,"REVIEW","OK")</f>
        <v/>
      </c>
    </row>
    <row r="169">
      <c r="A169" s="6" t="inlineStr">
        <is>
          <t>TXN-00168</t>
        </is>
      </c>
      <c r="B169" s="6" t="inlineStr">
        <is>
          <t>ACC-0008</t>
        </is>
      </c>
      <c r="C169" s="6" t="inlineStr">
        <is>
          <t>Bill Payment</t>
        </is>
      </c>
      <c r="D169" s="6" t="n">
        <v>9920</v>
      </c>
      <c r="E169" s="6" t="n">
        <v>15</v>
      </c>
      <c r="F169" s="6" t="n">
        <v>0</v>
      </c>
      <c r="G169" s="6" t="n">
        <v>1</v>
      </c>
      <c r="H169" s="6" t="n">
        <v>0</v>
      </c>
      <c r="I169" s="6" t="n">
        <v>3</v>
      </c>
      <c r="J169" s="6" t="n">
        <v>0</v>
      </c>
      <c r="P169" s="7">
        <f>(D169-VLOOKUP(B169,$L$2:$N$61,2,FALSE))/VLOOKUP(B169,$L$2:$N$61,3,FALSE)</f>
        <v/>
      </c>
      <c r="Q169" s="6">
        <f>IF(P169&gt;2.5,1,0)</f>
        <v/>
      </c>
      <c r="R169" s="6">
        <f>IF(G169&gt;4,1,0)</f>
        <v/>
      </c>
      <c r="S169" s="6">
        <f>IF(AND(F169=1,P169&gt;0.5),1,0)</f>
        <v/>
      </c>
      <c r="T169" s="6">
        <f>IF(AND(OR(E169&gt;=23,E169&lt;=5),P169&gt;0),1,0)</f>
        <v/>
      </c>
      <c r="U169" s="6">
        <f>IF(H169=1,1,0)</f>
        <v/>
      </c>
      <c r="V169" s="6">
        <f>IF(I169&gt;=3,1,0)</f>
        <v/>
      </c>
      <c r="W169" s="6">
        <f>Q169*20+R169*15+S169*30+T169*15+U169*25+V169*20</f>
        <v/>
      </c>
      <c r="X169" s="6">
        <f>IF(W169&gt;=40,"REVIEW","OK")</f>
        <v/>
      </c>
    </row>
    <row r="170">
      <c r="A170" s="6" t="inlineStr">
        <is>
          <t>TXN-00169</t>
        </is>
      </c>
      <c r="B170" s="6" t="inlineStr">
        <is>
          <t>ACC-0020</t>
        </is>
      </c>
      <c r="C170" s="6" t="inlineStr">
        <is>
          <t>P2P Transfer</t>
        </is>
      </c>
      <c r="D170" s="6" t="n">
        <v>7088</v>
      </c>
      <c r="E170" s="6" t="n">
        <v>1</v>
      </c>
      <c r="F170" s="6" t="n">
        <v>1</v>
      </c>
      <c r="G170" s="6" t="n">
        <v>4</v>
      </c>
      <c r="H170" s="6" t="n">
        <v>0</v>
      </c>
      <c r="I170" s="6" t="n">
        <v>0</v>
      </c>
      <c r="J170" s="6" t="n">
        <v>0</v>
      </c>
      <c r="P170" s="7">
        <f>(D170-VLOOKUP(B170,$L$2:$N$61,2,FALSE))/VLOOKUP(B170,$L$2:$N$61,3,FALSE)</f>
        <v/>
      </c>
      <c r="Q170" s="6">
        <f>IF(P170&gt;2.5,1,0)</f>
        <v/>
      </c>
      <c r="R170" s="6">
        <f>IF(G170&gt;4,1,0)</f>
        <v/>
      </c>
      <c r="S170" s="6">
        <f>IF(AND(F170=1,P170&gt;0.5),1,0)</f>
        <v/>
      </c>
      <c r="T170" s="6">
        <f>IF(AND(OR(E170&gt;=23,E170&lt;=5),P170&gt;0),1,0)</f>
        <v/>
      </c>
      <c r="U170" s="6">
        <f>IF(H170=1,1,0)</f>
        <v/>
      </c>
      <c r="V170" s="6">
        <f>IF(I170&gt;=3,1,0)</f>
        <v/>
      </c>
      <c r="W170" s="6">
        <f>Q170*20+R170*15+S170*30+T170*15+U170*25+V170*20</f>
        <v/>
      </c>
      <c r="X170" s="6">
        <f>IF(W170&gt;=40,"REVIEW","OK")</f>
        <v/>
      </c>
    </row>
    <row r="171">
      <c r="A171" s="6" t="inlineStr">
        <is>
          <t>TXN-00170</t>
        </is>
      </c>
      <c r="B171" s="6" t="inlineStr">
        <is>
          <t>ACC-0039</t>
        </is>
      </c>
      <c r="C171" s="6" t="inlineStr">
        <is>
          <t>Merchant Payment</t>
        </is>
      </c>
      <c r="D171" s="6" t="n">
        <v>9639</v>
      </c>
      <c r="E171" s="6" t="n">
        <v>3</v>
      </c>
      <c r="F171" s="6" t="n">
        <v>0</v>
      </c>
      <c r="G171" s="6" t="n">
        <v>2</v>
      </c>
      <c r="H171" s="6" t="n">
        <v>0</v>
      </c>
      <c r="I171" s="6" t="n">
        <v>0</v>
      </c>
      <c r="J171" s="6" t="n">
        <v>0</v>
      </c>
      <c r="P171" s="7">
        <f>(D171-VLOOKUP(B171,$L$2:$N$61,2,FALSE))/VLOOKUP(B171,$L$2:$N$61,3,FALSE)</f>
        <v/>
      </c>
      <c r="Q171" s="6">
        <f>IF(P171&gt;2.5,1,0)</f>
        <v/>
      </c>
      <c r="R171" s="6">
        <f>IF(G171&gt;4,1,0)</f>
        <v/>
      </c>
      <c r="S171" s="6">
        <f>IF(AND(F171=1,P171&gt;0.5),1,0)</f>
        <v/>
      </c>
      <c r="T171" s="6">
        <f>IF(AND(OR(E171&gt;=23,E171&lt;=5),P171&gt;0),1,0)</f>
        <v/>
      </c>
      <c r="U171" s="6">
        <f>IF(H171=1,1,0)</f>
        <v/>
      </c>
      <c r="V171" s="6">
        <f>IF(I171&gt;=3,1,0)</f>
        <v/>
      </c>
      <c r="W171" s="6">
        <f>Q171*20+R171*15+S171*30+T171*15+U171*25+V171*20</f>
        <v/>
      </c>
      <c r="X171" s="6">
        <f>IF(W171&gt;=40,"REVIEW","OK")</f>
        <v/>
      </c>
    </row>
    <row r="172">
      <c r="A172" s="6" t="inlineStr">
        <is>
          <t>TXN-00171</t>
        </is>
      </c>
      <c r="B172" s="6" t="inlineStr">
        <is>
          <t>ACC-0032</t>
        </is>
      </c>
      <c r="C172" s="6" t="inlineStr">
        <is>
          <t>P2P Transfer</t>
        </is>
      </c>
      <c r="D172" s="6" t="n">
        <v>3588</v>
      </c>
      <c r="E172" s="6" t="n">
        <v>23</v>
      </c>
      <c r="F172" s="6" t="n">
        <v>1</v>
      </c>
      <c r="G172" s="6" t="n">
        <v>1</v>
      </c>
      <c r="H172" s="6" t="n">
        <v>0</v>
      </c>
      <c r="I172" s="6" t="n">
        <v>3</v>
      </c>
      <c r="J172" s="6" t="n">
        <v>0</v>
      </c>
      <c r="P172" s="7">
        <f>(D172-VLOOKUP(B172,$L$2:$N$61,2,FALSE))/VLOOKUP(B172,$L$2:$N$61,3,FALSE)</f>
        <v/>
      </c>
      <c r="Q172" s="6">
        <f>IF(P172&gt;2.5,1,0)</f>
        <v/>
      </c>
      <c r="R172" s="6">
        <f>IF(G172&gt;4,1,0)</f>
        <v/>
      </c>
      <c r="S172" s="6">
        <f>IF(AND(F172=1,P172&gt;0.5),1,0)</f>
        <v/>
      </c>
      <c r="T172" s="6">
        <f>IF(AND(OR(E172&gt;=23,E172&lt;=5),P172&gt;0),1,0)</f>
        <v/>
      </c>
      <c r="U172" s="6">
        <f>IF(H172=1,1,0)</f>
        <v/>
      </c>
      <c r="V172" s="6">
        <f>IF(I172&gt;=3,1,0)</f>
        <v/>
      </c>
      <c r="W172" s="6">
        <f>Q172*20+R172*15+S172*30+T172*15+U172*25+V172*20</f>
        <v/>
      </c>
      <c r="X172" s="6">
        <f>IF(W172&gt;=40,"REVIEW","OK")</f>
        <v/>
      </c>
    </row>
    <row r="173">
      <c r="A173" s="6" t="inlineStr">
        <is>
          <t>TXN-00172</t>
        </is>
      </c>
      <c r="B173" s="6" t="inlineStr">
        <is>
          <t>ACC-0058</t>
        </is>
      </c>
      <c r="C173" s="6" t="inlineStr">
        <is>
          <t>Cash Withdrawal (Agent)</t>
        </is>
      </c>
      <c r="D173" s="6" t="n">
        <v>11388</v>
      </c>
      <c r="E173" s="6" t="n">
        <v>6</v>
      </c>
      <c r="F173" s="6" t="n">
        <v>0</v>
      </c>
      <c r="G173" s="6" t="n">
        <v>7</v>
      </c>
      <c r="H173" s="6" t="n">
        <v>0</v>
      </c>
      <c r="I173" s="6" t="n">
        <v>0</v>
      </c>
      <c r="J173" s="6" t="n">
        <v>0</v>
      </c>
      <c r="P173" s="7">
        <f>(D173-VLOOKUP(B173,$L$2:$N$61,2,FALSE))/VLOOKUP(B173,$L$2:$N$61,3,FALSE)</f>
        <v/>
      </c>
      <c r="Q173" s="6">
        <f>IF(P173&gt;2.5,1,0)</f>
        <v/>
      </c>
      <c r="R173" s="6">
        <f>IF(G173&gt;4,1,0)</f>
        <v/>
      </c>
      <c r="S173" s="6">
        <f>IF(AND(F173=1,P173&gt;0.5),1,0)</f>
        <v/>
      </c>
      <c r="T173" s="6">
        <f>IF(AND(OR(E173&gt;=23,E173&lt;=5),P173&gt;0),1,0)</f>
        <v/>
      </c>
      <c r="U173" s="6">
        <f>IF(H173=1,1,0)</f>
        <v/>
      </c>
      <c r="V173" s="6">
        <f>IF(I173&gt;=3,1,0)</f>
        <v/>
      </c>
      <c r="W173" s="6">
        <f>Q173*20+R173*15+S173*30+T173*15+U173*25+V173*20</f>
        <v/>
      </c>
      <c r="X173" s="6">
        <f>IF(W173&gt;=40,"REVIEW","OK")</f>
        <v/>
      </c>
    </row>
    <row r="174">
      <c r="A174" s="6" t="inlineStr">
        <is>
          <t>TXN-00173</t>
        </is>
      </c>
      <c r="B174" s="6" t="inlineStr">
        <is>
          <t>ACC-0015</t>
        </is>
      </c>
      <c r="C174" s="6" t="inlineStr">
        <is>
          <t>P2P Transfer</t>
        </is>
      </c>
      <c r="D174" s="6" t="n">
        <v>1584</v>
      </c>
      <c r="E174" s="6" t="n">
        <v>5</v>
      </c>
      <c r="F174" s="6" t="n">
        <v>0</v>
      </c>
      <c r="G174" s="6" t="n">
        <v>4</v>
      </c>
      <c r="H174" s="6" t="n">
        <v>0</v>
      </c>
      <c r="I174" s="6" t="n">
        <v>0</v>
      </c>
      <c r="J174" s="6" t="n">
        <v>0</v>
      </c>
      <c r="P174" s="7">
        <f>(D174-VLOOKUP(B174,$L$2:$N$61,2,FALSE))/VLOOKUP(B174,$L$2:$N$61,3,FALSE)</f>
        <v/>
      </c>
      <c r="Q174" s="6">
        <f>IF(P174&gt;2.5,1,0)</f>
        <v/>
      </c>
      <c r="R174" s="6">
        <f>IF(G174&gt;4,1,0)</f>
        <v/>
      </c>
      <c r="S174" s="6">
        <f>IF(AND(F174=1,P174&gt;0.5),1,0)</f>
        <v/>
      </c>
      <c r="T174" s="6">
        <f>IF(AND(OR(E174&gt;=23,E174&lt;=5),P174&gt;0),1,0)</f>
        <v/>
      </c>
      <c r="U174" s="6">
        <f>IF(H174=1,1,0)</f>
        <v/>
      </c>
      <c r="V174" s="6">
        <f>IF(I174&gt;=3,1,0)</f>
        <v/>
      </c>
      <c r="W174" s="6">
        <f>Q174*20+R174*15+S174*30+T174*15+U174*25+V174*20</f>
        <v/>
      </c>
      <c r="X174" s="6">
        <f>IF(W174&gt;=40,"REVIEW","OK")</f>
        <v/>
      </c>
    </row>
    <row r="175">
      <c r="A175" s="6" t="inlineStr">
        <is>
          <t>TXN-00174</t>
        </is>
      </c>
      <c r="B175" s="6" t="inlineStr">
        <is>
          <t>ACC-0001</t>
        </is>
      </c>
      <c r="C175" s="6" t="inlineStr">
        <is>
          <t>Airtime Top-up</t>
        </is>
      </c>
      <c r="D175" s="6" t="n">
        <v>11069</v>
      </c>
      <c r="E175" s="6" t="n">
        <v>1</v>
      </c>
      <c r="F175" s="6" t="n">
        <v>0</v>
      </c>
      <c r="G175" s="6" t="n">
        <v>2</v>
      </c>
      <c r="H175" s="6" t="n">
        <v>0</v>
      </c>
      <c r="I175" s="6" t="n">
        <v>0</v>
      </c>
      <c r="J175" s="6" t="n">
        <v>0</v>
      </c>
      <c r="P175" s="7">
        <f>(D175-VLOOKUP(B175,$L$2:$N$61,2,FALSE))/VLOOKUP(B175,$L$2:$N$61,3,FALSE)</f>
        <v/>
      </c>
      <c r="Q175" s="6">
        <f>IF(P175&gt;2.5,1,0)</f>
        <v/>
      </c>
      <c r="R175" s="6">
        <f>IF(G175&gt;4,1,0)</f>
        <v/>
      </c>
      <c r="S175" s="6">
        <f>IF(AND(F175=1,P175&gt;0.5),1,0)</f>
        <v/>
      </c>
      <c r="T175" s="6">
        <f>IF(AND(OR(E175&gt;=23,E175&lt;=5),P175&gt;0),1,0)</f>
        <v/>
      </c>
      <c r="U175" s="6">
        <f>IF(H175=1,1,0)</f>
        <v/>
      </c>
      <c r="V175" s="6">
        <f>IF(I175&gt;=3,1,0)</f>
        <v/>
      </c>
      <c r="W175" s="6">
        <f>Q175*20+R175*15+S175*30+T175*15+U175*25+V175*20</f>
        <v/>
      </c>
      <c r="X175" s="6">
        <f>IF(W175&gt;=40,"REVIEW","OK")</f>
        <v/>
      </c>
    </row>
    <row r="176">
      <c r="A176" s="6" t="inlineStr">
        <is>
          <t>TXN-00175</t>
        </is>
      </c>
      <c r="B176" s="6" t="inlineStr">
        <is>
          <t>ACC-0036</t>
        </is>
      </c>
      <c r="C176" s="6" t="inlineStr">
        <is>
          <t>Bill Payment</t>
        </is>
      </c>
      <c r="D176" s="6" t="n">
        <v>13577</v>
      </c>
      <c r="E176" s="6" t="n">
        <v>7</v>
      </c>
      <c r="F176" s="6" t="n">
        <v>0</v>
      </c>
      <c r="G176" s="6" t="n">
        <v>1</v>
      </c>
      <c r="H176" s="6" t="n">
        <v>0</v>
      </c>
      <c r="I176" s="6" t="n">
        <v>2</v>
      </c>
      <c r="J176" s="6" t="n">
        <v>0</v>
      </c>
      <c r="P176" s="7">
        <f>(D176-VLOOKUP(B176,$L$2:$N$61,2,FALSE))/VLOOKUP(B176,$L$2:$N$61,3,FALSE)</f>
        <v/>
      </c>
      <c r="Q176" s="6">
        <f>IF(P176&gt;2.5,1,0)</f>
        <v/>
      </c>
      <c r="R176" s="6">
        <f>IF(G176&gt;4,1,0)</f>
        <v/>
      </c>
      <c r="S176" s="6">
        <f>IF(AND(F176=1,P176&gt;0.5),1,0)</f>
        <v/>
      </c>
      <c r="T176" s="6">
        <f>IF(AND(OR(E176&gt;=23,E176&lt;=5),P176&gt;0),1,0)</f>
        <v/>
      </c>
      <c r="U176" s="6">
        <f>IF(H176=1,1,0)</f>
        <v/>
      </c>
      <c r="V176" s="6">
        <f>IF(I176&gt;=3,1,0)</f>
        <v/>
      </c>
      <c r="W176" s="6">
        <f>Q176*20+R176*15+S176*30+T176*15+U176*25+V176*20</f>
        <v/>
      </c>
      <c r="X176" s="6">
        <f>IF(W176&gt;=40,"REVIEW","OK")</f>
        <v/>
      </c>
    </row>
    <row r="177">
      <c r="A177" s="6" t="inlineStr">
        <is>
          <t>TXN-00176</t>
        </is>
      </c>
      <c r="B177" s="6" t="inlineStr">
        <is>
          <t>ACC-0058</t>
        </is>
      </c>
      <c r="C177" s="6" t="inlineStr">
        <is>
          <t>P2P Transfer</t>
        </is>
      </c>
      <c r="D177" s="6" t="n">
        <v>10278</v>
      </c>
      <c r="E177" s="6" t="n">
        <v>2</v>
      </c>
      <c r="F177" s="6" t="n">
        <v>0</v>
      </c>
      <c r="G177" s="6" t="n">
        <v>4</v>
      </c>
      <c r="H177" s="6" t="n">
        <v>0</v>
      </c>
      <c r="I177" s="6" t="n">
        <v>0</v>
      </c>
      <c r="J177" s="6" t="n">
        <v>0</v>
      </c>
      <c r="P177" s="7">
        <f>(D177-VLOOKUP(B177,$L$2:$N$61,2,FALSE))/VLOOKUP(B177,$L$2:$N$61,3,FALSE)</f>
        <v/>
      </c>
      <c r="Q177" s="6">
        <f>IF(P177&gt;2.5,1,0)</f>
        <v/>
      </c>
      <c r="R177" s="6">
        <f>IF(G177&gt;4,1,0)</f>
        <v/>
      </c>
      <c r="S177" s="6">
        <f>IF(AND(F177=1,P177&gt;0.5),1,0)</f>
        <v/>
      </c>
      <c r="T177" s="6">
        <f>IF(AND(OR(E177&gt;=23,E177&lt;=5),P177&gt;0),1,0)</f>
        <v/>
      </c>
      <c r="U177" s="6">
        <f>IF(H177=1,1,0)</f>
        <v/>
      </c>
      <c r="V177" s="6">
        <f>IF(I177&gt;=3,1,0)</f>
        <v/>
      </c>
      <c r="W177" s="6">
        <f>Q177*20+R177*15+S177*30+T177*15+U177*25+V177*20</f>
        <v/>
      </c>
      <c r="X177" s="6">
        <f>IF(W177&gt;=40,"REVIEW","OK")</f>
        <v/>
      </c>
    </row>
    <row r="178">
      <c r="A178" s="6" t="inlineStr">
        <is>
          <t>TXN-00177</t>
        </is>
      </c>
      <c r="B178" s="6" t="inlineStr">
        <is>
          <t>ACC-0035</t>
        </is>
      </c>
      <c r="C178" s="6" t="inlineStr">
        <is>
          <t>Bill Payment</t>
        </is>
      </c>
      <c r="D178" s="6" t="n">
        <v>7725</v>
      </c>
      <c r="E178" s="6" t="n">
        <v>13</v>
      </c>
      <c r="F178" s="6" t="n">
        <v>0</v>
      </c>
      <c r="G178" s="6" t="n">
        <v>1</v>
      </c>
      <c r="H178" s="6" t="n">
        <v>0</v>
      </c>
      <c r="I178" s="6" t="n">
        <v>0</v>
      </c>
      <c r="J178" s="6" t="n">
        <v>0</v>
      </c>
      <c r="P178" s="7">
        <f>(D178-VLOOKUP(B178,$L$2:$N$61,2,FALSE))/VLOOKUP(B178,$L$2:$N$61,3,FALSE)</f>
        <v/>
      </c>
      <c r="Q178" s="6">
        <f>IF(P178&gt;2.5,1,0)</f>
        <v/>
      </c>
      <c r="R178" s="6">
        <f>IF(G178&gt;4,1,0)</f>
        <v/>
      </c>
      <c r="S178" s="6">
        <f>IF(AND(F178=1,P178&gt;0.5),1,0)</f>
        <v/>
      </c>
      <c r="T178" s="6">
        <f>IF(AND(OR(E178&gt;=23,E178&lt;=5),P178&gt;0),1,0)</f>
        <v/>
      </c>
      <c r="U178" s="6">
        <f>IF(H178=1,1,0)</f>
        <v/>
      </c>
      <c r="V178" s="6">
        <f>IF(I178&gt;=3,1,0)</f>
        <v/>
      </c>
      <c r="W178" s="6">
        <f>Q178*20+R178*15+S178*30+T178*15+U178*25+V178*20</f>
        <v/>
      </c>
      <c r="X178" s="6">
        <f>IF(W178&gt;=40,"REVIEW","OK")</f>
        <v/>
      </c>
    </row>
    <row r="179">
      <c r="A179" s="6" t="inlineStr">
        <is>
          <t>TXN-00178</t>
        </is>
      </c>
      <c r="B179" s="6" t="inlineStr">
        <is>
          <t>ACC-0045</t>
        </is>
      </c>
      <c r="C179" s="6" t="inlineStr">
        <is>
          <t>Bill Payment</t>
        </is>
      </c>
      <c r="D179" s="6" t="n">
        <v>13898</v>
      </c>
      <c r="E179" s="6" t="n">
        <v>18</v>
      </c>
      <c r="F179" s="6" t="n">
        <v>0</v>
      </c>
      <c r="G179" s="6" t="n">
        <v>1</v>
      </c>
      <c r="H179" s="6" t="n">
        <v>0</v>
      </c>
      <c r="I179" s="6" t="n">
        <v>0</v>
      </c>
      <c r="J179" s="6" t="n">
        <v>0</v>
      </c>
      <c r="P179" s="7">
        <f>(D179-VLOOKUP(B179,$L$2:$N$61,2,FALSE))/VLOOKUP(B179,$L$2:$N$61,3,FALSE)</f>
        <v/>
      </c>
      <c r="Q179" s="6">
        <f>IF(P179&gt;2.5,1,0)</f>
        <v/>
      </c>
      <c r="R179" s="6">
        <f>IF(G179&gt;4,1,0)</f>
        <v/>
      </c>
      <c r="S179" s="6">
        <f>IF(AND(F179=1,P179&gt;0.5),1,0)</f>
        <v/>
      </c>
      <c r="T179" s="6">
        <f>IF(AND(OR(E179&gt;=23,E179&lt;=5),P179&gt;0),1,0)</f>
        <v/>
      </c>
      <c r="U179" s="6">
        <f>IF(H179=1,1,0)</f>
        <v/>
      </c>
      <c r="V179" s="6">
        <f>IF(I179&gt;=3,1,0)</f>
        <v/>
      </c>
      <c r="W179" s="6">
        <f>Q179*20+R179*15+S179*30+T179*15+U179*25+V179*20</f>
        <v/>
      </c>
      <c r="X179" s="6">
        <f>IF(W179&gt;=40,"REVIEW","OK")</f>
        <v/>
      </c>
    </row>
    <row r="180">
      <c r="A180" s="6" t="inlineStr">
        <is>
          <t>TXN-00179</t>
        </is>
      </c>
      <c r="B180" s="6" t="inlineStr">
        <is>
          <t>ACC-0046</t>
        </is>
      </c>
      <c r="C180" s="6" t="inlineStr">
        <is>
          <t>Cash Withdrawal (Agent)</t>
        </is>
      </c>
      <c r="D180" s="6" t="n">
        <v>17757</v>
      </c>
      <c r="E180" s="6" t="n">
        <v>12</v>
      </c>
      <c r="F180" s="6" t="n">
        <v>0</v>
      </c>
      <c r="G180" s="6" t="n">
        <v>1</v>
      </c>
      <c r="H180" s="6" t="n">
        <v>0</v>
      </c>
      <c r="I180" s="6" t="n">
        <v>0</v>
      </c>
      <c r="J180" s="6" t="n">
        <v>0</v>
      </c>
      <c r="P180" s="7">
        <f>(D180-VLOOKUP(B180,$L$2:$N$61,2,FALSE))/VLOOKUP(B180,$L$2:$N$61,3,FALSE)</f>
        <v/>
      </c>
      <c r="Q180" s="6">
        <f>IF(P180&gt;2.5,1,0)</f>
        <v/>
      </c>
      <c r="R180" s="6">
        <f>IF(G180&gt;4,1,0)</f>
        <v/>
      </c>
      <c r="S180" s="6">
        <f>IF(AND(F180=1,P180&gt;0.5),1,0)</f>
        <v/>
      </c>
      <c r="T180" s="6">
        <f>IF(AND(OR(E180&gt;=23,E180&lt;=5),P180&gt;0),1,0)</f>
        <v/>
      </c>
      <c r="U180" s="6">
        <f>IF(H180=1,1,0)</f>
        <v/>
      </c>
      <c r="V180" s="6">
        <f>IF(I180&gt;=3,1,0)</f>
        <v/>
      </c>
      <c r="W180" s="6">
        <f>Q180*20+R180*15+S180*30+T180*15+U180*25+V180*20</f>
        <v/>
      </c>
      <c r="X180" s="6">
        <f>IF(W180&gt;=40,"REVIEW","OK")</f>
        <v/>
      </c>
    </row>
    <row r="181">
      <c r="A181" s="6" t="inlineStr">
        <is>
          <t>TXN-00180</t>
        </is>
      </c>
      <c r="B181" s="6" t="inlineStr">
        <is>
          <t>ACC-0029</t>
        </is>
      </c>
      <c r="C181" s="6" t="inlineStr">
        <is>
          <t>P2P Transfer</t>
        </is>
      </c>
      <c r="D181" s="6" t="n">
        <v>7644</v>
      </c>
      <c r="E181" s="6" t="n">
        <v>21</v>
      </c>
      <c r="F181" s="6" t="n">
        <v>0</v>
      </c>
      <c r="G181" s="6" t="n">
        <v>1</v>
      </c>
      <c r="H181" s="6" t="n">
        <v>0</v>
      </c>
      <c r="I181" s="6" t="n">
        <v>0</v>
      </c>
      <c r="J181" s="6" t="n">
        <v>0</v>
      </c>
      <c r="P181" s="7">
        <f>(D181-VLOOKUP(B181,$L$2:$N$61,2,FALSE))/VLOOKUP(B181,$L$2:$N$61,3,FALSE)</f>
        <v/>
      </c>
      <c r="Q181" s="6">
        <f>IF(P181&gt;2.5,1,0)</f>
        <v/>
      </c>
      <c r="R181" s="6">
        <f>IF(G181&gt;4,1,0)</f>
        <v/>
      </c>
      <c r="S181" s="6">
        <f>IF(AND(F181=1,P181&gt;0.5),1,0)</f>
        <v/>
      </c>
      <c r="T181" s="6">
        <f>IF(AND(OR(E181&gt;=23,E181&lt;=5),P181&gt;0),1,0)</f>
        <v/>
      </c>
      <c r="U181" s="6">
        <f>IF(H181=1,1,0)</f>
        <v/>
      </c>
      <c r="V181" s="6">
        <f>IF(I181&gt;=3,1,0)</f>
        <v/>
      </c>
      <c r="W181" s="6">
        <f>Q181*20+R181*15+S181*30+T181*15+U181*25+V181*20</f>
        <v/>
      </c>
      <c r="X181" s="6">
        <f>IF(W181&gt;=40,"REVIEW","OK")</f>
        <v/>
      </c>
    </row>
    <row r="182">
      <c r="A182" s="6" t="inlineStr">
        <is>
          <t>TXN-00181</t>
        </is>
      </c>
      <c r="B182" s="6" t="inlineStr">
        <is>
          <t>ACC-0053</t>
        </is>
      </c>
      <c r="C182" s="6" t="inlineStr">
        <is>
          <t>Bill Payment</t>
        </is>
      </c>
      <c r="D182" s="6" t="n">
        <v>5365</v>
      </c>
      <c r="E182" s="6" t="n">
        <v>1</v>
      </c>
      <c r="F182" s="6" t="n">
        <v>0</v>
      </c>
      <c r="G182" s="6" t="n">
        <v>2</v>
      </c>
      <c r="H182" s="6" t="n">
        <v>0</v>
      </c>
      <c r="I182" s="6" t="n">
        <v>0</v>
      </c>
      <c r="J182" s="6" t="n">
        <v>0</v>
      </c>
      <c r="P182" s="7">
        <f>(D182-VLOOKUP(B182,$L$2:$N$61,2,FALSE))/VLOOKUP(B182,$L$2:$N$61,3,FALSE)</f>
        <v/>
      </c>
      <c r="Q182" s="6">
        <f>IF(P182&gt;2.5,1,0)</f>
        <v/>
      </c>
      <c r="R182" s="6">
        <f>IF(G182&gt;4,1,0)</f>
        <v/>
      </c>
      <c r="S182" s="6">
        <f>IF(AND(F182=1,P182&gt;0.5),1,0)</f>
        <v/>
      </c>
      <c r="T182" s="6">
        <f>IF(AND(OR(E182&gt;=23,E182&lt;=5),P182&gt;0),1,0)</f>
        <v/>
      </c>
      <c r="U182" s="6">
        <f>IF(H182=1,1,0)</f>
        <v/>
      </c>
      <c r="V182" s="6">
        <f>IF(I182&gt;=3,1,0)</f>
        <v/>
      </c>
      <c r="W182" s="6">
        <f>Q182*20+R182*15+S182*30+T182*15+U182*25+V182*20</f>
        <v/>
      </c>
      <c r="X182" s="6">
        <f>IF(W182&gt;=40,"REVIEW","OK")</f>
        <v/>
      </c>
    </row>
    <row r="183">
      <c r="A183" s="6" t="inlineStr">
        <is>
          <t>TXN-00182</t>
        </is>
      </c>
      <c r="B183" s="6" t="inlineStr">
        <is>
          <t>ACC-0015</t>
        </is>
      </c>
      <c r="C183" s="6" t="inlineStr">
        <is>
          <t>P2P Transfer</t>
        </is>
      </c>
      <c r="D183" s="6" t="n">
        <v>2908</v>
      </c>
      <c r="E183" s="6" t="n">
        <v>15</v>
      </c>
      <c r="F183" s="6" t="n">
        <v>0</v>
      </c>
      <c r="G183" s="6" t="n">
        <v>1</v>
      </c>
      <c r="H183" s="6" t="n">
        <v>0</v>
      </c>
      <c r="I183" s="6" t="n">
        <v>0</v>
      </c>
      <c r="J183" s="6" t="n">
        <v>0</v>
      </c>
      <c r="P183" s="7">
        <f>(D183-VLOOKUP(B183,$L$2:$N$61,2,FALSE))/VLOOKUP(B183,$L$2:$N$61,3,FALSE)</f>
        <v/>
      </c>
      <c r="Q183" s="6">
        <f>IF(P183&gt;2.5,1,0)</f>
        <v/>
      </c>
      <c r="R183" s="6">
        <f>IF(G183&gt;4,1,0)</f>
        <v/>
      </c>
      <c r="S183" s="6">
        <f>IF(AND(F183=1,P183&gt;0.5),1,0)</f>
        <v/>
      </c>
      <c r="T183" s="6">
        <f>IF(AND(OR(E183&gt;=23,E183&lt;=5),P183&gt;0),1,0)</f>
        <v/>
      </c>
      <c r="U183" s="6">
        <f>IF(H183=1,1,0)</f>
        <v/>
      </c>
      <c r="V183" s="6">
        <f>IF(I183&gt;=3,1,0)</f>
        <v/>
      </c>
      <c r="W183" s="6">
        <f>Q183*20+R183*15+S183*30+T183*15+U183*25+V183*20</f>
        <v/>
      </c>
      <c r="X183" s="6">
        <f>IF(W183&gt;=40,"REVIEW","OK")</f>
        <v/>
      </c>
    </row>
    <row r="184">
      <c r="A184" s="6" t="inlineStr">
        <is>
          <t>TXN-00183</t>
        </is>
      </c>
      <c r="B184" s="6" t="inlineStr">
        <is>
          <t>ACC-0004</t>
        </is>
      </c>
      <c r="C184" s="6" t="inlineStr">
        <is>
          <t>P2P Transfer</t>
        </is>
      </c>
      <c r="D184" s="6" t="n">
        <v>5112</v>
      </c>
      <c r="E184" s="6" t="n">
        <v>23</v>
      </c>
      <c r="F184" s="6" t="n">
        <v>1</v>
      </c>
      <c r="G184" s="6" t="n">
        <v>1</v>
      </c>
      <c r="H184" s="6" t="n">
        <v>0</v>
      </c>
      <c r="I184" s="6" t="n">
        <v>0</v>
      </c>
      <c r="J184" s="6" t="n">
        <v>0</v>
      </c>
      <c r="P184" s="7">
        <f>(D184-VLOOKUP(B184,$L$2:$N$61,2,FALSE))/VLOOKUP(B184,$L$2:$N$61,3,FALSE)</f>
        <v/>
      </c>
      <c r="Q184" s="6">
        <f>IF(P184&gt;2.5,1,0)</f>
        <v/>
      </c>
      <c r="R184" s="6">
        <f>IF(G184&gt;4,1,0)</f>
        <v/>
      </c>
      <c r="S184" s="6">
        <f>IF(AND(F184=1,P184&gt;0.5),1,0)</f>
        <v/>
      </c>
      <c r="T184" s="6">
        <f>IF(AND(OR(E184&gt;=23,E184&lt;=5),P184&gt;0),1,0)</f>
        <v/>
      </c>
      <c r="U184" s="6">
        <f>IF(H184=1,1,0)</f>
        <v/>
      </c>
      <c r="V184" s="6">
        <f>IF(I184&gt;=3,1,0)</f>
        <v/>
      </c>
      <c r="W184" s="6">
        <f>Q184*20+R184*15+S184*30+T184*15+U184*25+V184*20</f>
        <v/>
      </c>
      <c r="X184" s="6">
        <f>IF(W184&gt;=40,"REVIEW","OK")</f>
        <v/>
      </c>
    </row>
    <row r="185">
      <c r="A185" s="6" t="inlineStr">
        <is>
          <t>TXN-00184</t>
        </is>
      </c>
      <c r="B185" s="6" t="inlineStr">
        <is>
          <t>ACC-0050</t>
        </is>
      </c>
      <c r="C185" s="6" t="inlineStr">
        <is>
          <t>Merchant Payment</t>
        </is>
      </c>
      <c r="D185" s="6" t="n">
        <v>5499</v>
      </c>
      <c r="E185" s="6" t="n">
        <v>12</v>
      </c>
      <c r="F185" s="6" t="n">
        <v>0</v>
      </c>
      <c r="G185" s="6" t="n">
        <v>7</v>
      </c>
      <c r="H185" s="6" t="n">
        <v>0</v>
      </c>
      <c r="I185" s="6" t="n">
        <v>0</v>
      </c>
      <c r="J185" s="6" t="n">
        <v>0</v>
      </c>
      <c r="P185" s="7">
        <f>(D185-VLOOKUP(B185,$L$2:$N$61,2,FALSE))/VLOOKUP(B185,$L$2:$N$61,3,FALSE)</f>
        <v/>
      </c>
      <c r="Q185" s="6">
        <f>IF(P185&gt;2.5,1,0)</f>
        <v/>
      </c>
      <c r="R185" s="6">
        <f>IF(G185&gt;4,1,0)</f>
        <v/>
      </c>
      <c r="S185" s="6">
        <f>IF(AND(F185=1,P185&gt;0.5),1,0)</f>
        <v/>
      </c>
      <c r="T185" s="6">
        <f>IF(AND(OR(E185&gt;=23,E185&lt;=5),P185&gt;0),1,0)</f>
        <v/>
      </c>
      <c r="U185" s="6">
        <f>IF(H185=1,1,0)</f>
        <v/>
      </c>
      <c r="V185" s="6">
        <f>IF(I185&gt;=3,1,0)</f>
        <v/>
      </c>
      <c r="W185" s="6">
        <f>Q185*20+R185*15+S185*30+T185*15+U185*25+V185*20</f>
        <v/>
      </c>
      <c r="X185" s="6">
        <f>IF(W185&gt;=40,"REVIEW","OK")</f>
        <v/>
      </c>
    </row>
    <row r="186">
      <c r="A186" s="6" t="inlineStr">
        <is>
          <t>TXN-00185</t>
        </is>
      </c>
      <c r="B186" s="6" t="inlineStr">
        <is>
          <t>ACC-0002</t>
        </is>
      </c>
      <c r="C186" s="6" t="inlineStr">
        <is>
          <t>Cash Withdrawal (Agent)</t>
        </is>
      </c>
      <c r="D186" s="6" t="n">
        <v>12635</v>
      </c>
      <c r="E186" s="6" t="n">
        <v>1</v>
      </c>
      <c r="F186" s="6" t="n">
        <v>0</v>
      </c>
      <c r="G186" s="6" t="n">
        <v>4</v>
      </c>
      <c r="H186" s="6" t="n">
        <v>0</v>
      </c>
      <c r="I186" s="6" t="n">
        <v>1</v>
      </c>
      <c r="J186" s="6" t="n">
        <v>0</v>
      </c>
      <c r="P186" s="7">
        <f>(D186-VLOOKUP(B186,$L$2:$N$61,2,FALSE))/VLOOKUP(B186,$L$2:$N$61,3,FALSE)</f>
        <v/>
      </c>
      <c r="Q186" s="6">
        <f>IF(P186&gt;2.5,1,0)</f>
        <v/>
      </c>
      <c r="R186" s="6">
        <f>IF(G186&gt;4,1,0)</f>
        <v/>
      </c>
      <c r="S186" s="6">
        <f>IF(AND(F186=1,P186&gt;0.5),1,0)</f>
        <v/>
      </c>
      <c r="T186" s="6">
        <f>IF(AND(OR(E186&gt;=23,E186&lt;=5),P186&gt;0),1,0)</f>
        <v/>
      </c>
      <c r="U186" s="6">
        <f>IF(H186=1,1,0)</f>
        <v/>
      </c>
      <c r="V186" s="6">
        <f>IF(I186&gt;=3,1,0)</f>
        <v/>
      </c>
      <c r="W186" s="6">
        <f>Q186*20+R186*15+S186*30+T186*15+U186*25+V186*20</f>
        <v/>
      </c>
      <c r="X186" s="6">
        <f>IF(W186&gt;=40,"REVIEW","OK")</f>
        <v/>
      </c>
    </row>
    <row r="187">
      <c r="A187" s="6" t="inlineStr">
        <is>
          <t>TXN-00186</t>
        </is>
      </c>
      <c r="B187" s="6" t="inlineStr">
        <is>
          <t>ACC-0031</t>
        </is>
      </c>
      <c r="C187" s="6" t="inlineStr">
        <is>
          <t>P2P Transfer</t>
        </is>
      </c>
      <c r="D187" s="6" t="n">
        <v>4056</v>
      </c>
      <c r="E187" s="6" t="n">
        <v>21</v>
      </c>
      <c r="F187" s="6" t="n">
        <v>1</v>
      </c>
      <c r="G187" s="6" t="n">
        <v>2</v>
      </c>
      <c r="H187" s="6" t="n">
        <v>0</v>
      </c>
      <c r="I187" s="6" t="n">
        <v>0</v>
      </c>
      <c r="J187" s="6" t="n">
        <v>0</v>
      </c>
      <c r="P187" s="7">
        <f>(D187-VLOOKUP(B187,$L$2:$N$61,2,FALSE))/VLOOKUP(B187,$L$2:$N$61,3,FALSE)</f>
        <v/>
      </c>
      <c r="Q187" s="6">
        <f>IF(P187&gt;2.5,1,0)</f>
        <v/>
      </c>
      <c r="R187" s="6">
        <f>IF(G187&gt;4,1,0)</f>
        <v/>
      </c>
      <c r="S187" s="6">
        <f>IF(AND(F187=1,P187&gt;0.5),1,0)</f>
        <v/>
      </c>
      <c r="T187" s="6">
        <f>IF(AND(OR(E187&gt;=23,E187&lt;=5),P187&gt;0),1,0)</f>
        <v/>
      </c>
      <c r="U187" s="6">
        <f>IF(H187=1,1,0)</f>
        <v/>
      </c>
      <c r="V187" s="6">
        <f>IF(I187&gt;=3,1,0)</f>
        <v/>
      </c>
      <c r="W187" s="6">
        <f>Q187*20+R187*15+S187*30+T187*15+U187*25+V187*20</f>
        <v/>
      </c>
      <c r="X187" s="6">
        <f>IF(W187&gt;=40,"REVIEW","OK")</f>
        <v/>
      </c>
    </row>
    <row r="188">
      <c r="A188" s="6" t="inlineStr">
        <is>
          <t>TXN-00187</t>
        </is>
      </c>
      <c r="B188" s="6" t="inlineStr">
        <is>
          <t>ACC-0019</t>
        </is>
      </c>
      <c r="C188" s="6" t="inlineStr">
        <is>
          <t>Bill Payment</t>
        </is>
      </c>
      <c r="D188" s="6" t="n">
        <v>16943</v>
      </c>
      <c r="E188" s="6" t="n">
        <v>1</v>
      </c>
      <c r="F188" s="6" t="n">
        <v>0</v>
      </c>
      <c r="G188" s="6" t="n">
        <v>4</v>
      </c>
      <c r="H188" s="6" t="n">
        <v>0</v>
      </c>
      <c r="I188" s="6" t="n">
        <v>0</v>
      </c>
      <c r="J188" s="6" t="n">
        <v>0</v>
      </c>
      <c r="P188" s="7">
        <f>(D188-VLOOKUP(B188,$L$2:$N$61,2,FALSE))/VLOOKUP(B188,$L$2:$N$61,3,FALSE)</f>
        <v/>
      </c>
      <c r="Q188" s="6">
        <f>IF(P188&gt;2.5,1,0)</f>
        <v/>
      </c>
      <c r="R188" s="6">
        <f>IF(G188&gt;4,1,0)</f>
        <v/>
      </c>
      <c r="S188" s="6">
        <f>IF(AND(F188=1,P188&gt;0.5),1,0)</f>
        <v/>
      </c>
      <c r="T188" s="6">
        <f>IF(AND(OR(E188&gt;=23,E188&lt;=5),P188&gt;0),1,0)</f>
        <v/>
      </c>
      <c r="U188" s="6">
        <f>IF(H188=1,1,0)</f>
        <v/>
      </c>
      <c r="V188" s="6">
        <f>IF(I188&gt;=3,1,0)</f>
        <v/>
      </c>
      <c r="W188" s="6">
        <f>Q188*20+R188*15+S188*30+T188*15+U188*25+V188*20</f>
        <v/>
      </c>
      <c r="X188" s="6">
        <f>IF(W188&gt;=40,"REVIEW","OK")</f>
        <v/>
      </c>
    </row>
    <row r="189">
      <c r="A189" s="6" t="inlineStr">
        <is>
          <t>TXN-00188</t>
        </is>
      </c>
      <c r="B189" s="6" t="inlineStr">
        <is>
          <t>ACC-0029</t>
        </is>
      </c>
      <c r="C189" s="6" t="inlineStr">
        <is>
          <t>Cash Withdrawal (Agent)</t>
        </is>
      </c>
      <c r="D189" s="6" t="n">
        <v>3874</v>
      </c>
      <c r="E189" s="6" t="n">
        <v>5</v>
      </c>
      <c r="F189" s="6" t="n">
        <v>0</v>
      </c>
      <c r="G189" s="6" t="n">
        <v>2</v>
      </c>
      <c r="H189" s="6" t="n">
        <v>0</v>
      </c>
      <c r="I189" s="6" t="n">
        <v>0</v>
      </c>
      <c r="J189" s="6" t="n">
        <v>0</v>
      </c>
      <c r="P189" s="7">
        <f>(D189-VLOOKUP(B189,$L$2:$N$61,2,FALSE))/VLOOKUP(B189,$L$2:$N$61,3,FALSE)</f>
        <v/>
      </c>
      <c r="Q189" s="6">
        <f>IF(P189&gt;2.5,1,0)</f>
        <v/>
      </c>
      <c r="R189" s="6">
        <f>IF(G189&gt;4,1,0)</f>
        <v/>
      </c>
      <c r="S189" s="6">
        <f>IF(AND(F189=1,P189&gt;0.5),1,0)</f>
        <v/>
      </c>
      <c r="T189" s="6">
        <f>IF(AND(OR(E189&gt;=23,E189&lt;=5),P189&gt;0),1,0)</f>
        <v/>
      </c>
      <c r="U189" s="6">
        <f>IF(H189=1,1,0)</f>
        <v/>
      </c>
      <c r="V189" s="6">
        <f>IF(I189&gt;=3,1,0)</f>
        <v/>
      </c>
      <c r="W189" s="6">
        <f>Q189*20+R189*15+S189*30+T189*15+U189*25+V189*20</f>
        <v/>
      </c>
      <c r="X189" s="6">
        <f>IF(W189&gt;=40,"REVIEW","OK")</f>
        <v/>
      </c>
    </row>
    <row r="190">
      <c r="A190" s="6" t="inlineStr">
        <is>
          <t>TXN-00189</t>
        </is>
      </c>
      <c r="B190" s="6" t="inlineStr">
        <is>
          <t>ACC-0004</t>
        </is>
      </c>
      <c r="C190" s="6" t="inlineStr">
        <is>
          <t>Merchant Payment</t>
        </is>
      </c>
      <c r="D190" s="6" t="n">
        <v>5184</v>
      </c>
      <c r="E190" s="6" t="n">
        <v>4</v>
      </c>
      <c r="F190" s="6" t="n">
        <v>0</v>
      </c>
      <c r="G190" s="6" t="n">
        <v>2</v>
      </c>
      <c r="H190" s="6" t="n">
        <v>0</v>
      </c>
      <c r="I190" s="6" t="n">
        <v>4</v>
      </c>
      <c r="J190" s="6" t="n">
        <v>0</v>
      </c>
      <c r="P190" s="7">
        <f>(D190-VLOOKUP(B190,$L$2:$N$61,2,FALSE))/VLOOKUP(B190,$L$2:$N$61,3,FALSE)</f>
        <v/>
      </c>
      <c r="Q190" s="6">
        <f>IF(P190&gt;2.5,1,0)</f>
        <v/>
      </c>
      <c r="R190" s="6">
        <f>IF(G190&gt;4,1,0)</f>
        <v/>
      </c>
      <c r="S190" s="6">
        <f>IF(AND(F190=1,P190&gt;0.5),1,0)</f>
        <v/>
      </c>
      <c r="T190" s="6">
        <f>IF(AND(OR(E190&gt;=23,E190&lt;=5),P190&gt;0),1,0)</f>
        <v/>
      </c>
      <c r="U190" s="6">
        <f>IF(H190=1,1,0)</f>
        <v/>
      </c>
      <c r="V190" s="6">
        <f>IF(I190&gt;=3,1,0)</f>
        <v/>
      </c>
      <c r="W190" s="6">
        <f>Q190*20+R190*15+S190*30+T190*15+U190*25+V190*20</f>
        <v/>
      </c>
      <c r="X190" s="6">
        <f>IF(W190&gt;=40,"REVIEW","OK")</f>
        <v/>
      </c>
    </row>
    <row r="191">
      <c r="A191" s="6" t="inlineStr">
        <is>
          <t>TXN-00190</t>
        </is>
      </c>
      <c r="B191" s="6" t="inlineStr">
        <is>
          <t>ACC-0026</t>
        </is>
      </c>
      <c r="C191" s="6" t="inlineStr">
        <is>
          <t>Bill Payment</t>
        </is>
      </c>
      <c r="D191" s="6" t="n">
        <v>3676</v>
      </c>
      <c r="E191" s="6" t="n">
        <v>13</v>
      </c>
      <c r="F191" s="6" t="n">
        <v>0</v>
      </c>
      <c r="G191" s="6" t="n">
        <v>1</v>
      </c>
      <c r="H191" s="6" t="n">
        <v>0</v>
      </c>
      <c r="I191" s="6" t="n">
        <v>0</v>
      </c>
      <c r="J191" s="6" t="n">
        <v>0</v>
      </c>
      <c r="P191" s="7">
        <f>(D191-VLOOKUP(B191,$L$2:$N$61,2,FALSE))/VLOOKUP(B191,$L$2:$N$61,3,FALSE)</f>
        <v/>
      </c>
      <c r="Q191" s="6">
        <f>IF(P191&gt;2.5,1,0)</f>
        <v/>
      </c>
      <c r="R191" s="6">
        <f>IF(G191&gt;4,1,0)</f>
        <v/>
      </c>
      <c r="S191" s="6">
        <f>IF(AND(F191=1,P191&gt;0.5),1,0)</f>
        <v/>
      </c>
      <c r="T191" s="6">
        <f>IF(AND(OR(E191&gt;=23,E191&lt;=5),P191&gt;0),1,0)</f>
        <v/>
      </c>
      <c r="U191" s="6">
        <f>IF(H191=1,1,0)</f>
        <v/>
      </c>
      <c r="V191" s="6">
        <f>IF(I191&gt;=3,1,0)</f>
        <v/>
      </c>
      <c r="W191" s="6">
        <f>Q191*20+R191*15+S191*30+T191*15+U191*25+V191*20</f>
        <v/>
      </c>
      <c r="X191" s="6">
        <f>IF(W191&gt;=40,"REVIEW","OK")</f>
        <v/>
      </c>
    </row>
    <row r="192">
      <c r="A192" s="6" t="inlineStr">
        <is>
          <t>TXN-00191</t>
        </is>
      </c>
      <c r="B192" s="6" t="inlineStr">
        <is>
          <t>ACC-0004</t>
        </is>
      </c>
      <c r="C192" s="6" t="inlineStr">
        <is>
          <t>P2P Transfer</t>
        </is>
      </c>
      <c r="D192" s="6" t="n">
        <v>5063</v>
      </c>
      <c r="E192" s="6" t="n">
        <v>3</v>
      </c>
      <c r="F192" s="6" t="n">
        <v>1</v>
      </c>
      <c r="G192" s="6" t="n">
        <v>4</v>
      </c>
      <c r="H192" s="6" t="n">
        <v>0</v>
      </c>
      <c r="I192" s="6" t="n">
        <v>0</v>
      </c>
      <c r="J192" s="6" t="n">
        <v>0</v>
      </c>
      <c r="P192" s="7">
        <f>(D192-VLOOKUP(B192,$L$2:$N$61,2,FALSE))/VLOOKUP(B192,$L$2:$N$61,3,FALSE)</f>
        <v/>
      </c>
      <c r="Q192" s="6">
        <f>IF(P192&gt;2.5,1,0)</f>
        <v/>
      </c>
      <c r="R192" s="6">
        <f>IF(G192&gt;4,1,0)</f>
        <v/>
      </c>
      <c r="S192" s="6">
        <f>IF(AND(F192=1,P192&gt;0.5),1,0)</f>
        <v/>
      </c>
      <c r="T192" s="6">
        <f>IF(AND(OR(E192&gt;=23,E192&lt;=5),P192&gt;0),1,0)</f>
        <v/>
      </c>
      <c r="U192" s="6">
        <f>IF(H192=1,1,0)</f>
        <v/>
      </c>
      <c r="V192" s="6">
        <f>IF(I192&gt;=3,1,0)</f>
        <v/>
      </c>
      <c r="W192" s="6">
        <f>Q192*20+R192*15+S192*30+T192*15+U192*25+V192*20</f>
        <v/>
      </c>
      <c r="X192" s="6">
        <f>IF(W192&gt;=40,"REVIEW","OK")</f>
        <v/>
      </c>
    </row>
    <row r="193">
      <c r="A193" s="6" t="inlineStr">
        <is>
          <t>TXN-00192</t>
        </is>
      </c>
      <c r="B193" s="6" t="inlineStr">
        <is>
          <t>ACC-0043</t>
        </is>
      </c>
      <c r="C193" s="6" t="inlineStr">
        <is>
          <t>P2P Transfer</t>
        </is>
      </c>
      <c r="D193" s="6" t="n">
        <v>7832</v>
      </c>
      <c r="E193" s="6" t="n">
        <v>14</v>
      </c>
      <c r="F193" s="6" t="n">
        <v>0</v>
      </c>
      <c r="G193" s="6" t="n">
        <v>1</v>
      </c>
      <c r="H193" s="6" t="n">
        <v>0</v>
      </c>
      <c r="I193" s="6" t="n">
        <v>1</v>
      </c>
      <c r="J193" s="6" t="n">
        <v>0</v>
      </c>
      <c r="P193" s="7">
        <f>(D193-VLOOKUP(B193,$L$2:$N$61,2,FALSE))/VLOOKUP(B193,$L$2:$N$61,3,FALSE)</f>
        <v/>
      </c>
      <c r="Q193" s="6">
        <f>IF(P193&gt;2.5,1,0)</f>
        <v/>
      </c>
      <c r="R193" s="6">
        <f>IF(G193&gt;4,1,0)</f>
        <v/>
      </c>
      <c r="S193" s="6">
        <f>IF(AND(F193=1,P193&gt;0.5),1,0)</f>
        <v/>
      </c>
      <c r="T193" s="6">
        <f>IF(AND(OR(E193&gt;=23,E193&lt;=5),P193&gt;0),1,0)</f>
        <v/>
      </c>
      <c r="U193" s="6">
        <f>IF(H193=1,1,0)</f>
        <v/>
      </c>
      <c r="V193" s="6">
        <f>IF(I193&gt;=3,1,0)</f>
        <v/>
      </c>
      <c r="W193" s="6">
        <f>Q193*20+R193*15+S193*30+T193*15+U193*25+V193*20</f>
        <v/>
      </c>
      <c r="X193" s="6">
        <f>IF(W193&gt;=40,"REVIEW","OK")</f>
        <v/>
      </c>
    </row>
    <row r="194">
      <c r="A194" s="6" t="inlineStr">
        <is>
          <t>TXN-00193</t>
        </is>
      </c>
      <c r="B194" s="6" t="inlineStr">
        <is>
          <t>ACC-0006</t>
        </is>
      </c>
      <c r="C194" s="6" t="inlineStr">
        <is>
          <t>Bill Payment</t>
        </is>
      </c>
      <c r="D194" s="6" t="n">
        <v>12169</v>
      </c>
      <c r="E194" s="6" t="n">
        <v>1</v>
      </c>
      <c r="F194" s="6" t="n">
        <v>0</v>
      </c>
      <c r="G194" s="6" t="n">
        <v>1</v>
      </c>
      <c r="H194" s="6" t="n">
        <v>0</v>
      </c>
      <c r="I194" s="6" t="n">
        <v>3</v>
      </c>
      <c r="J194" s="6" t="n">
        <v>0</v>
      </c>
      <c r="P194" s="7">
        <f>(D194-VLOOKUP(B194,$L$2:$N$61,2,FALSE))/VLOOKUP(B194,$L$2:$N$61,3,FALSE)</f>
        <v/>
      </c>
      <c r="Q194" s="6">
        <f>IF(P194&gt;2.5,1,0)</f>
        <v/>
      </c>
      <c r="R194" s="6">
        <f>IF(G194&gt;4,1,0)</f>
        <v/>
      </c>
      <c r="S194" s="6">
        <f>IF(AND(F194=1,P194&gt;0.5),1,0)</f>
        <v/>
      </c>
      <c r="T194" s="6">
        <f>IF(AND(OR(E194&gt;=23,E194&lt;=5),P194&gt;0),1,0)</f>
        <v/>
      </c>
      <c r="U194" s="6">
        <f>IF(H194=1,1,0)</f>
        <v/>
      </c>
      <c r="V194" s="6">
        <f>IF(I194&gt;=3,1,0)</f>
        <v/>
      </c>
      <c r="W194" s="6">
        <f>Q194*20+R194*15+S194*30+T194*15+U194*25+V194*20</f>
        <v/>
      </c>
      <c r="X194" s="6">
        <f>IF(W194&gt;=40,"REVIEW","OK")</f>
        <v/>
      </c>
    </row>
    <row r="195">
      <c r="A195" s="6" t="inlineStr">
        <is>
          <t>TXN-00194</t>
        </is>
      </c>
      <c r="B195" s="6" t="inlineStr">
        <is>
          <t>ACC-0017</t>
        </is>
      </c>
      <c r="C195" s="6" t="inlineStr">
        <is>
          <t>Bill Payment</t>
        </is>
      </c>
      <c r="D195" s="6" t="n">
        <v>200</v>
      </c>
      <c r="E195" s="6" t="n">
        <v>19</v>
      </c>
      <c r="F195" s="6" t="n">
        <v>0</v>
      </c>
      <c r="G195" s="6" t="n">
        <v>1</v>
      </c>
      <c r="H195" s="6" t="n">
        <v>0</v>
      </c>
      <c r="I195" s="6" t="n">
        <v>0</v>
      </c>
      <c r="J195" s="6" t="n">
        <v>0</v>
      </c>
      <c r="P195" s="7">
        <f>(D195-VLOOKUP(B195,$L$2:$N$61,2,FALSE))/VLOOKUP(B195,$L$2:$N$61,3,FALSE)</f>
        <v/>
      </c>
      <c r="Q195" s="6">
        <f>IF(P195&gt;2.5,1,0)</f>
        <v/>
      </c>
      <c r="R195" s="6">
        <f>IF(G195&gt;4,1,0)</f>
        <v/>
      </c>
      <c r="S195" s="6">
        <f>IF(AND(F195=1,P195&gt;0.5),1,0)</f>
        <v/>
      </c>
      <c r="T195" s="6">
        <f>IF(AND(OR(E195&gt;=23,E195&lt;=5),P195&gt;0),1,0)</f>
        <v/>
      </c>
      <c r="U195" s="6">
        <f>IF(H195=1,1,0)</f>
        <v/>
      </c>
      <c r="V195" s="6">
        <f>IF(I195&gt;=3,1,0)</f>
        <v/>
      </c>
      <c r="W195" s="6">
        <f>Q195*20+R195*15+S195*30+T195*15+U195*25+V195*20</f>
        <v/>
      </c>
      <c r="X195" s="6">
        <f>IF(W195&gt;=40,"REVIEW","OK")</f>
        <v/>
      </c>
    </row>
    <row r="196">
      <c r="A196" s="6" t="inlineStr">
        <is>
          <t>TXN-00195</t>
        </is>
      </c>
      <c r="B196" s="6" t="inlineStr">
        <is>
          <t>ACC-0053</t>
        </is>
      </c>
      <c r="C196" s="6" t="inlineStr">
        <is>
          <t>Cash Withdrawal (Agent)</t>
        </is>
      </c>
      <c r="D196" s="6" t="n">
        <v>3855</v>
      </c>
      <c r="E196" s="6" t="n">
        <v>1</v>
      </c>
      <c r="F196" s="6" t="n">
        <v>0</v>
      </c>
      <c r="G196" s="6" t="n">
        <v>1</v>
      </c>
      <c r="H196" s="6" t="n">
        <v>0</v>
      </c>
      <c r="I196" s="6" t="n">
        <v>2</v>
      </c>
      <c r="J196" s="6" t="n">
        <v>0</v>
      </c>
      <c r="P196" s="7">
        <f>(D196-VLOOKUP(B196,$L$2:$N$61,2,FALSE))/VLOOKUP(B196,$L$2:$N$61,3,FALSE)</f>
        <v/>
      </c>
      <c r="Q196" s="6">
        <f>IF(P196&gt;2.5,1,0)</f>
        <v/>
      </c>
      <c r="R196" s="6">
        <f>IF(G196&gt;4,1,0)</f>
        <v/>
      </c>
      <c r="S196" s="6">
        <f>IF(AND(F196=1,P196&gt;0.5),1,0)</f>
        <v/>
      </c>
      <c r="T196" s="6">
        <f>IF(AND(OR(E196&gt;=23,E196&lt;=5),P196&gt;0),1,0)</f>
        <v/>
      </c>
      <c r="U196" s="6">
        <f>IF(H196=1,1,0)</f>
        <v/>
      </c>
      <c r="V196" s="6">
        <f>IF(I196&gt;=3,1,0)</f>
        <v/>
      </c>
      <c r="W196" s="6">
        <f>Q196*20+R196*15+S196*30+T196*15+U196*25+V196*20</f>
        <v/>
      </c>
      <c r="X196" s="6">
        <f>IF(W196&gt;=40,"REVIEW","OK")</f>
        <v/>
      </c>
    </row>
    <row r="197">
      <c r="A197" s="6" t="inlineStr">
        <is>
          <t>TXN-00196</t>
        </is>
      </c>
      <c r="B197" s="6" t="inlineStr">
        <is>
          <t>ACC-0014</t>
        </is>
      </c>
      <c r="C197" s="6" t="inlineStr">
        <is>
          <t>P2P Transfer</t>
        </is>
      </c>
      <c r="D197" s="6" t="n">
        <v>7440</v>
      </c>
      <c r="E197" s="6" t="n">
        <v>14</v>
      </c>
      <c r="F197" s="6" t="n">
        <v>1</v>
      </c>
      <c r="G197" s="6" t="n">
        <v>2</v>
      </c>
      <c r="H197" s="6" t="n">
        <v>0</v>
      </c>
      <c r="I197" s="6" t="n">
        <v>0</v>
      </c>
      <c r="J197" s="6" t="n">
        <v>0</v>
      </c>
      <c r="P197" s="7">
        <f>(D197-VLOOKUP(B197,$L$2:$N$61,2,FALSE))/VLOOKUP(B197,$L$2:$N$61,3,FALSE)</f>
        <v/>
      </c>
      <c r="Q197" s="6">
        <f>IF(P197&gt;2.5,1,0)</f>
        <v/>
      </c>
      <c r="R197" s="6">
        <f>IF(G197&gt;4,1,0)</f>
        <v/>
      </c>
      <c r="S197" s="6">
        <f>IF(AND(F197=1,P197&gt;0.5),1,0)</f>
        <v/>
      </c>
      <c r="T197" s="6">
        <f>IF(AND(OR(E197&gt;=23,E197&lt;=5),P197&gt;0),1,0)</f>
        <v/>
      </c>
      <c r="U197" s="6">
        <f>IF(H197=1,1,0)</f>
        <v/>
      </c>
      <c r="V197" s="6">
        <f>IF(I197&gt;=3,1,0)</f>
        <v/>
      </c>
      <c r="W197" s="6">
        <f>Q197*20+R197*15+S197*30+T197*15+U197*25+V197*20</f>
        <v/>
      </c>
      <c r="X197" s="6">
        <f>IF(W197&gt;=40,"REVIEW","OK")</f>
        <v/>
      </c>
    </row>
    <row r="198">
      <c r="A198" s="6" t="inlineStr">
        <is>
          <t>TXN-00197</t>
        </is>
      </c>
      <c r="B198" s="6" t="inlineStr">
        <is>
          <t>ACC-0039</t>
        </is>
      </c>
      <c r="C198" s="6" t="inlineStr">
        <is>
          <t>Merchant Payment</t>
        </is>
      </c>
      <c r="D198" s="6" t="n">
        <v>8522</v>
      </c>
      <c r="E198" s="6" t="n">
        <v>7</v>
      </c>
      <c r="F198" s="6" t="n">
        <v>0</v>
      </c>
      <c r="G198" s="6" t="n">
        <v>1</v>
      </c>
      <c r="H198" s="6" t="n">
        <v>0</v>
      </c>
      <c r="I198" s="6" t="n">
        <v>0</v>
      </c>
      <c r="J198" s="6" t="n">
        <v>0</v>
      </c>
      <c r="P198" s="7">
        <f>(D198-VLOOKUP(B198,$L$2:$N$61,2,FALSE))/VLOOKUP(B198,$L$2:$N$61,3,FALSE)</f>
        <v/>
      </c>
      <c r="Q198" s="6">
        <f>IF(P198&gt;2.5,1,0)</f>
        <v/>
      </c>
      <c r="R198" s="6">
        <f>IF(G198&gt;4,1,0)</f>
        <v/>
      </c>
      <c r="S198" s="6">
        <f>IF(AND(F198=1,P198&gt;0.5),1,0)</f>
        <v/>
      </c>
      <c r="T198" s="6">
        <f>IF(AND(OR(E198&gt;=23,E198&lt;=5),P198&gt;0),1,0)</f>
        <v/>
      </c>
      <c r="U198" s="6">
        <f>IF(H198=1,1,0)</f>
        <v/>
      </c>
      <c r="V198" s="6">
        <f>IF(I198&gt;=3,1,0)</f>
        <v/>
      </c>
      <c r="W198" s="6">
        <f>Q198*20+R198*15+S198*30+T198*15+U198*25+V198*20</f>
        <v/>
      </c>
      <c r="X198" s="6">
        <f>IF(W198&gt;=40,"REVIEW","OK")</f>
        <v/>
      </c>
    </row>
    <row r="199">
      <c r="A199" s="6" t="inlineStr">
        <is>
          <t>TXN-00198</t>
        </is>
      </c>
      <c r="B199" s="6" t="inlineStr">
        <is>
          <t>ACC-0055</t>
        </is>
      </c>
      <c r="C199" s="6" t="inlineStr">
        <is>
          <t>P2P Transfer</t>
        </is>
      </c>
      <c r="D199" s="6" t="n">
        <v>15054</v>
      </c>
      <c r="E199" s="6" t="n">
        <v>4</v>
      </c>
      <c r="F199" s="6" t="n">
        <v>0</v>
      </c>
      <c r="G199" s="6" t="n">
        <v>1</v>
      </c>
      <c r="H199" s="6" t="n">
        <v>0</v>
      </c>
      <c r="I199" s="6" t="n">
        <v>3</v>
      </c>
      <c r="J199" s="6" t="n">
        <v>1</v>
      </c>
      <c r="P199" s="7">
        <f>(D199-VLOOKUP(B199,$L$2:$N$61,2,FALSE))/VLOOKUP(B199,$L$2:$N$61,3,FALSE)</f>
        <v/>
      </c>
      <c r="Q199" s="6">
        <f>IF(P199&gt;2.5,1,0)</f>
        <v/>
      </c>
      <c r="R199" s="6">
        <f>IF(G199&gt;4,1,0)</f>
        <v/>
      </c>
      <c r="S199" s="6">
        <f>IF(AND(F199=1,P199&gt;0.5),1,0)</f>
        <v/>
      </c>
      <c r="T199" s="6">
        <f>IF(AND(OR(E199&gt;=23,E199&lt;=5),P199&gt;0),1,0)</f>
        <v/>
      </c>
      <c r="U199" s="6">
        <f>IF(H199=1,1,0)</f>
        <v/>
      </c>
      <c r="V199" s="6">
        <f>IF(I199&gt;=3,1,0)</f>
        <v/>
      </c>
      <c r="W199" s="6">
        <f>Q199*20+R199*15+S199*30+T199*15+U199*25+V199*20</f>
        <v/>
      </c>
      <c r="X199" s="6">
        <f>IF(W199&gt;=40,"REVIEW","OK")</f>
        <v/>
      </c>
    </row>
    <row r="200">
      <c r="A200" s="6" t="inlineStr">
        <is>
          <t>TXN-00199</t>
        </is>
      </c>
      <c r="B200" s="6" t="inlineStr">
        <is>
          <t>ACC-0034</t>
        </is>
      </c>
      <c r="C200" s="6" t="inlineStr">
        <is>
          <t>Merchant Payment</t>
        </is>
      </c>
      <c r="D200" s="6" t="n">
        <v>10649</v>
      </c>
      <c r="E200" s="6" t="n">
        <v>15</v>
      </c>
      <c r="F200" s="6" t="n">
        <v>0</v>
      </c>
      <c r="G200" s="6" t="n">
        <v>1</v>
      </c>
      <c r="H200" s="6" t="n">
        <v>0</v>
      </c>
      <c r="I200" s="6" t="n">
        <v>1</v>
      </c>
      <c r="J200" s="6" t="n">
        <v>0</v>
      </c>
      <c r="P200" s="7">
        <f>(D200-VLOOKUP(B200,$L$2:$N$61,2,FALSE))/VLOOKUP(B200,$L$2:$N$61,3,FALSE)</f>
        <v/>
      </c>
      <c r="Q200" s="6">
        <f>IF(P200&gt;2.5,1,0)</f>
        <v/>
      </c>
      <c r="R200" s="6">
        <f>IF(G200&gt;4,1,0)</f>
        <v/>
      </c>
      <c r="S200" s="6">
        <f>IF(AND(F200=1,P200&gt;0.5),1,0)</f>
        <v/>
      </c>
      <c r="T200" s="6">
        <f>IF(AND(OR(E200&gt;=23,E200&lt;=5),P200&gt;0),1,0)</f>
        <v/>
      </c>
      <c r="U200" s="6">
        <f>IF(H200=1,1,0)</f>
        <v/>
      </c>
      <c r="V200" s="6">
        <f>IF(I200&gt;=3,1,0)</f>
        <v/>
      </c>
      <c r="W200" s="6">
        <f>Q200*20+R200*15+S200*30+T200*15+U200*25+V200*20</f>
        <v/>
      </c>
      <c r="X200" s="6">
        <f>IF(W200&gt;=40,"REVIEW","OK")</f>
        <v/>
      </c>
    </row>
    <row r="201">
      <c r="A201" s="6" t="inlineStr">
        <is>
          <t>TXN-00200</t>
        </is>
      </c>
      <c r="B201" s="6" t="inlineStr">
        <is>
          <t>ACC-0035</t>
        </is>
      </c>
      <c r="C201" s="6" t="inlineStr">
        <is>
          <t>P2P Transfer</t>
        </is>
      </c>
      <c r="D201" s="6" t="n">
        <v>5177</v>
      </c>
      <c r="E201" s="6" t="n">
        <v>23</v>
      </c>
      <c r="F201" s="6" t="n">
        <v>0</v>
      </c>
      <c r="G201" s="6" t="n">
        <v>2</v>
      </c>
      <c r="H201" s="6" t="n">
        <v>0</v>
      </c>
      <c r="I201" s="6" t="n">
        <v>0</v>
      </c>
      <c r="J201" s="6" t="n">
        <v>0</v>
      </c>
      <c r="P201" s="7">
        <f>(D201-VLOOKUP(B201,$L$2:$N$61,2,FALSE))/VLOOKUP(B201,$L$2:$N$61,3,FALSE)</f>
        <v/>
      </c>
      <c r="Q201" s="6">
        <f>IF(P201&gt;2.5,1,0)</f>
        <v/>
      </c>
      <c r="R201" s="6">
        <f>IF(G201&gt;4,1,0)</f>
        <v/>
      </c>
      <c r="S201" s="6">
        <f>IF(AND(F201=1,P201&gt;0.5),1,0)</f>
        <v/>
      </c>
      <c r="T201" s="6">
        <f>IF(AND(OR(E201&gt;=23,E201&lt;=5),P201&gt;0),1,0)</f>
        <v/>
      </c>
      <c r="U201" s="6">
        <f>IF(H201=1,1,0)</f>
        <v/>
      </c>
      <c r="V201" s="6">
        <f>IF(I201&gt;=3,1,0)</f>
        <v/>
      </c>
      <c r="W201" s="6">
        <f>Q201*20+R201*15+S201*30+T201*15+U201*25+V201*20</f>
        <v/>
      </c>
      <c r="X201" s="6">
        <f>IF(W201&gt;=40,"REVIEW","OK")</f>
        <v/>
      </c>
    </row>
    <row r="202">
      <c r="A202" s="6" t="inlineStr">
        <is>
          <t>TXN-00201</t>
        </is>
      </c>
      <c r="B202" s="6" t="inlineStr">
        <is>
          <t>ACC-0007</t>
        </is>
      </c>
      <c r="C202" s="6" t="inlineStr">
        <is>
          <t>P2P Transfer</t>
        </is>
      </c>
      <c r="D202" s="6" t="n">
        <v>9380</v>
      </c>
      <c r="E202" s="6" t="n">
        <v>14</v>
      </c>
      <c r="F202" s="6" t="n">
        <v>1</v>
      </c>
      <c r="G202" s="6" t="n">
        <v>1</v>
      </c>
      <c r="H202" s="6" t="n">
        <v>0</v>
      </c>
      <c r="I202" s="6" t="n">
        <v>0</v>
      </c>
      <c r="J202" s="6" t="n">
        <v>0</v>
      </c>
      <c r="P202" s="7">
        <f>(D202-VLOOKUP(B202,$L$2:$N$61,2,FALSE))/VLOOKUP(B202,$L$2:$N$61,3,FALSE)</f>
        <v/>
      </c>
      <c r="Q202" s="6">
        <f>IF(P202&gt;2.5,1,0)</f>
        <v/>
      </c>
      <c r="R202" s="6">
        <f>IF(G202&gt;4,1,0)</f>
        <v/>
      </c>
      <c r="S202" s="6">
        <f>IF(AND(F202=1,P202&gt;0.5),1,0)</f>
        <v/>
      </c>
      <c r="T202" s="6">
        <f>IF(AND(OR(E202&gt;=23,E202&lt;=5),P202&gt;0),1,0)</f>
        <v/>
      </c>
      <c r="U202" s="6">
        <f>IF(H202=1,1,0)</f>
        <v/>
      </c>
      <c r="V202" s="6">
        <f>IF(I202&gt;=3,1,0)</f>
        <v/>
      </c>
      <c r="W202" s="6">
        <f>Q202*20+R202*15+S202*30+T202*15+U202*25+V202*20</f>
        <v/>
      </c>
      <c r="X202" s="6">
        <f>IF(W202&gt;=40,"REVIEW","OK")</f>
        <v/>
      </c>
    </row>
    <row r="203">
      <c r="A203" s="6" t="inlineStr">
        <is>
          <t>TXN-00202</t>
        </is>
      </c>
      <c r="B203" s="6" t="inlineStr">
        <is>
          <t>ACC-0046</t>
        </is>
      </c>
      <c r="C203" s="6" t="inlineStr">
        <is>
          <t>Merchant Payment</t>
        </is>
      </c>
      <c r="D203" s="6" t="n">
        <v>13814</v>
      </c>
      <c r="E203" s="6" t="n">
        <v>12</v>
      </c>
      <c r="F203" s="6" t="n">
        <v>0</v>
      </c>
      <c r="G203" s="6" t="n">
        <v>1</v>
      </c>
      <c r="H203" s="6" t="n">
        <v>0</v>
      </c>
      <c r="I203" s="6" t="n">
        <v>0</v>
      </c>
      <c r="J203" s="6" t="n">
        <v>0</v>
      </c>
      <c r="P203" s="7">
        <f>(D203-VLOOKUP(B203,$L$2:$N$61,2,FALSE))/VLOOKUP(B203,$L$2:$N$61,3,FALSE)</f>
        <v/>
      </c>
      <c r="Q203" s="6">
        <f>IF(P203&gt;2.5,1,0)</f>
        <v/>
      </c>
      <c r="R203" s="6">
        <f>IF(G203&gt;4,1,0)</f>
        <v/>
      </c>
      <c r="S203" s="6">
        <f>IF(AND(F203=1,P203&gt;0.5),1,0)</f>
        <v/>
      </c>
      <c r="T203" s="6">
        <f>IF(AND(OR(E203&gt;=23,E203&lt;=5),P203&gt;0),1,0)</f>
        <v/>
      </c>
      <c r="U203" s="6">
        <f>IF(H203=1,1,0)</f>
        <v/>
      </c>
      <c r="V203" s="6">
        <f>IF(I203&gt;=3,1,0)</f>
        <v/>
      </c>
      <c r="W203" s="6">
        <f>Q203*20+R203*15+S203*30+T203*15+U203*25+V203*20</f>
        <v/>
      </c>
      <c r="X203" s="6">
        <f>IF(W203&gt;=40,"REVIEW","OK")</f>
        <v/>
      </c>
    </row>
    <row r="204">
      <c r="A204" s="6" t="inlineStr">
        <is>
          <t>TXN-00203</t>
        </is>
      </c>
      <c r="B204" s="6" t="inlineStr">
        <is>
          <t>ACC-0041</t>
        </is>
      </c>
      <c r="C204" s="6" t="inlineStr">
        <is>
          <t>Bill Payment</t>
        </is>
      </c>
      <c r="D204" s="6" t="n">
        <v>12322</v>
      </c>
      <c r="E204" s="6" t="n">
        <v>12</v>
      </c>
      <c r="F204" s="6" t="n">
        <v>0</v>
      </c>
      <c r="G204" s="6" t="n">
        <v>2</v>
      </c>
      <c r="H204" s="6" t="n">
        <v>0</v>
      </c>
      <c r="I204" s="6" t="n">
        <v>0</v>
      </c>
      <c r="J204" s="6" t="n">
        <v>0</v>
      </c>
      <c r="P204" s="7">
        <f>(D204-VLOOKUP(B204,$L$2:$N$61,2,FALSE))/VLOOKUP(B204,$L$2:$N$61,3,FALSE)</f>
        <v/>
      </c>
      <c r="Q204" s="6">
        <f>IF(P204&gt;2.5,1,0)</f>
        <v/>
      </c>
      <c r="R204" s="6">
        <f>IF(G204&gt;4,1,0)</f>
        <v/>
      </c>
      <c r="S204" s="6">
        <f>IF(AND(F204=1,P204&gt;0.5),1,0)</f>
        <v/>
      </c>
      <c r="T204" s="6">
        <f>IF(AND(OR(E204&gt;=23,E204&lt;=5),P204&gt;0),1,0)</f>
        <v/>
      </c>
      <c r="U204" s="6">
        <f>IF(H204=1,1,0)</f>
        <v/>
      </c>
      <c r="V204" s="6">
        <f>IF(I204&gt;=3,1,0)</f>
        <v/>
      </c>
      <c r="W204" s="6">
        <f>Q204*20+R204*15+S204*30+T204*15+U204*25+V204*20</f>
        <v/>
      </c>
      <c r="X204" s="6">
        <f>IF(W204&gt;=40,"REVIEW","OK")</f>
        <v/>
      </c>
    </row>
    <row r="205">
      <c r="A205" s="6" t="inlineStr">
        <is>
          <t>TXN-00204</t>
        </is>
      </c>
      <c r="B205" s="6" t="inlineStr">
        <is>
          <t>ACC-0013</t>
        </is>
      </c>
      <c r="C205" s="6" t="inlineStr">
        <is>
          <t>P2P Transfer</t>
        </is>
      </c>
      <c r="D205" s="6" t="n">
        <v>2356</v>
      </c>
      <c r="E205" s="6" t="n">
        <v>17</v>
      </c>
      <c r="F205" s="6" t="n">
        <v>0</v>
      </c>
      <c r="G205" s="6" t="n">
        <v>2</v>
      </c>
      <c r="H205" s="6" t="n">
        <v>0</v>
      </c>
      <c r="I205" s="6" t="n">
        <v>0</v>
      </c>
      <c r="J205" s="6" t="n">
        <v>0</v>
      </c>
      <c r="P205" s="7">
        <f>(D205-VLOOKUP(B205,$L$2:$N$61,2,FALSE))/VLOOKUP(B205,$L$2:$N$61,3,FALSE)</f>
        <v/>
      </c>
      <c r="Q205" s="6">
        <f>IF(P205&gt;2.5,1,0)</f>
        <v/>
      </c>
      <c r="R205" s="6">
        <f>IF(G205&gt;4,1,0)</f>
        <v/>
      </c>
      <c r="S205" s="6">
        <f>IF(AND(F205=1,P205&gt;0.5),1,0)</f>
        <v/>
      </c>
      <c r="T205" s="6">
        <f>IF(AND(OR(E205&gt;=23,E205&lt;=5),P205&gt;0),1,0)</f>
        <v/>
      </c>
      <c r="U205" s="6">
        <f>IF(H205=1,1,0)</f>
        <v/>
      </c>
      <c r="V205" s="6">
        <f>IF(I205&gt;=3,1,0)</f>
        <v/>
      </c>
      <c r="W205" s="6">
        <f>Q205*20+R205*15+S205*30+T205*15+U205*25+V205*20</f>
        <v/>
      </c>
      <c r="X205" s="6">
        <f>IF(W205&gt;=40,"REVIEW","OK")</f>
        <v/>
      </c>
    </row>
    <row r="206">
      <c r="A206" s="6" t="inlineStr">
        <is>
          <t>TXN-00205</t>
        </is>
      </c>
      <c r="B206" s="6" t="inlineStr">
        <is>
          <t>ACC-0006</t>
        </is>
      </c>
      <c r="C206" s="6" t="inlineStr">
        <is>
          <t>Merchant Payment</t>
        </is>
      </c>
      <c r="D206" s="6" t="n">
        <v>28263</v>
      </c>
      <c r="E206" s="6" t="n">
        <v>11</v>
      </c>
      <c r="F206" s="6" t="n">
        <v>0</v>
      </c>
      <c r="G206" s="6" t="n">
        <v>1</v>
      </c>
      <c r="H206" s="6" t="n">
        <v>0</v>
      </c>
      <c r="I206" s="6" t="n">
        <v>0</v>
      </c>
      <c r="J206" s="6" t="n">
        <v>1</v>
      </c>
      <c r="P206" s="7">
        <f>(D206-VLOOKUP(B206,$L$2:$N$61,2,FALSE))/VLOOKUP(B206,$L$2:$N$61,3,FALSE)</f>
        <v/>
      </c>
      <c r="Q206" s="6">
        <f>IF(P206&gt;2.5,1,0)</f>
        <v/>
      </c>
      <c r="R206" s="6">
        <f>IF(G206&gt;4,1,0)</f>
        <v/>
      </c>
      <c r="S206" s="6">
        <f>IF(AND(F206=1,P206&gt;0.5),1,0)</f>
        <v/>
      </c>
      <c r="T206" s="6">
        <f>IF(AND(OR(E206&gt;=23,E206&lt;=5),P206&gt;0),1,0)</f>
        <v/>
      </c>
      <c r="U206" s="6">
        <f>IF(H206=1,1,0)</f>
        <v/>
      </c>
      <c r="V206" s="6">
        <f>IF(I206&gt;=3,1,0)</f>
        <v/>
      </c>
      <c r="W206" s="6">
        <f>Q206*20+R206*15+S206*30+T206*15+U206*25+V206*20</f>
        <v/>
      </c>
      <c r="X206" s="6">
        <f>IF(W206&gt;=40,"REVIEW","OK")</f>
        <v/>
      </c>
    </row>
    <row r="207">
      <c r="A207" s="6" t="inlineStr">
        <is>
          <t>TXN-00206</t>
        </is>
      </c>
      <c r="B207" s="6" t="inlineStr">
        <is>
          <t>ACC-0026</t>
        </is>
      </c>
      <c r="C207" s="6" t="inlineStr">
        <is>
          <t>Merchant Payment</t>
        </is>
      </c>
      <c r="D207" s="6" t="n">
        <v>13739</v>
      </c>
      <c r="E207" s="6" t="n">
        <v>15</v>
      </c>
      <c r="F207" s="6" t="n">
        <v>0</v>
      </c>
      <c r="G207" s="6" t="n">
        <v>4</v>
      </c>
      <c r="H207" s="6" t="n">
        <v>1</v>
      </c>
      <c r="I207" s="6" t="n">
        <v>0</v>
      </c>
      <c r="J207" s="6" t="n">
        <v>0</v>
      </c>
      <c r="P207" s="7">
        <f>(D207-VLOOKUP(B207,$L$2:$N$61,2,FALSE))/VLOOKUP(B207,$L$2:$N$61,3,FALSE)</f>
        <v/>
      </c>
      <c r="Q207" s="6">
        <f>IF(P207&gt;2.5,1,0)</f>
        <v/>
      </c>
      <c r="R207" s="6">
        <f>IF(G207&gt;4,1,0)</f>
        <v/>
      </c>
      <c r="S207" s="6">
        <f>IF(AND(F207=1,P207&gt;0.5),1,0)</f>
        <v/>
      </c>
      <c r="T207" s="6">
        <f>IF(AND(OR(E207&gt;=23,E207&lt;=5),P207&gt;0),1,0)</f>
        <v/>
      </c>
      <c r="U207" s="6">
        <f>IF(H207=1,1,0)</f>
        <v/>
      </c>
      <c r="V207" s="6">
        <f>IF(I207&gt;=3,1,0)</f>
        <v/>
      </c>
      <c r="W207" s="6">
        <f>Q207*20+R207*15+S207*30+T207*15+U207*25+V207*20</f>
        <v/>
      </c>
      <c r="X207" s="6">
        <f>IF(W207&gt;=40,"REVIEW","OK")</f>
        <v/>
      </c>
    </row>
    <row r="208">
      <c r="A208" s="6" t="inlineStr">
        <is>
          <t>TXN-00207</t>
        </is>
      </c>
      <c r="B208" s="6" t="inlineStr">
        <is>
          <t>ACC-0050</t>
        </is>
      </c>
      <c r="C208" s="6" t="inlineStr">
        <is>
          <t>Cash Withdrawal (Agent)</t>
        </is>
      </c>
      <c r="D208" s="6" t="n">
        <v>6950</v>
      </c>
      <c r="E208" s="6" t="n">
        <v>1</v>
      </c>
      <c r="F208" s="6" t="n">
        <v>0</v>
      </c>
      <c r="G208" s="6" t="n">
        <v>2</v>
      </c>
      <c r="H208" s="6" t="n">
        <v>0</v>
      </c>
      <c r="I208" s="6" t="n">
        <v>0</v>
      </c>
      <c r="J208" s="6" t="n">
        <v>0</v>
      </c>
      <c r="P208" s="7">
        <f>(D208-VLOOKUP(B208,$L$2:$N$61,2,FALSE))/VLOOKUP(B208,$L$2:$N$61,3,FALSE)</f>
        <v/>
      </c>
      <c r="Q208" s="6">
        <f>IF(P208&gt;2.5,1,0)</f>
        <v/>
      </c>
      <c r="R208" s="6">
        <f>IF(G208&gt;4,1,0)</f>
        <v/>
      </c>
      <c r="S208" s="6">
        <f>IF(AND(F208=1,P208&gt;0.5),1,0)</f>
        <v/>
      </c>
      <c r="T208" s="6">
        <f>IF(AND(OR(E208&gt;=23,E208&lt;=5),P208&gt;0),1,0)</f>
        <v/>
      </c>
      <c r="U208" s="6">
        <f>IF(H208=1,1,0)</f>
        <v/>
      </c>
      <c r="V208" s="6">
        <f>IF(I208&gt;=3,1,0)</f>
        <v/>
      </c>
      <c r="W208" s="6">
        <f>Q208*20+R208*15+S208*30+T208*15+U208*25+V208*20</f>
        <v/>
      </c>
      <c r="X208" s="6">
        <f>IF(W208&gt;=40,"REVIEW","OK")</f>
        <v/>
      </c>
    </row>
    <row r="209">
      <c r="A209" s="6" t="inlineStr">
        <is>
          <t>TXN-00208</t>
        </is>
      </c>
      <c r="B209" s="6" t="inlineStr">
        <is>
          <t>ACC-0005</t>
        </is>
      </c>
      <c r="C209" s="6" t="inlineStr">
        <is>
          <t>Cash Withdrawal (Agent)</t>
        </is>
      </c>
      <c r="D209" s="6" t="n">
        <v>4920</v>
      </c>
      <c r="E209" s="6" t="n">
        <v>19</v>
      </c>
      <c r="F209" s="6" t="n">
        <v>0</v>
      </c>
      <c r="G209" s="6" t="n">
        <v>4</v>
      </c>
      <c r="H209" s="6" t="n">
        <v>0</v>
      </c>
      <c r="I209" s="6" t="n">
        <v>0</v>
      </c>
      <c r="J209" s="6" t="n">
        <v>0</v>
      </c>
      <c r="P209" s="7">
        <f>(D209-VLOOKUP(B209,$L$2:$N$61,2,FALSE))/VLOOKUP(B209,$L$2:$N$61,3,FALSE)</f>
        <v/>
      </c>
      <c r="Q209" s="6">
        <f>IF(P209&gt;2.5,1,0)</f>
        <v/>
      </c>
      <c r="R209" s="6">
        <f>IF(G209&gt;4,1,0)</f>
        <v/>
      </c>
      <c r="S209" s="6">
        <f>IF(AND(F209=1,P209&gt;0.5),1,0)</f>
        <v/>
      </c>
      <c r="T209" s="6">
        <f>IF(AND(OR(E209&gt;=23,E209&lt;=5),P209&gt;0),1,0)</f>
        <v/>
      </c>
      <c r="U209" s="6">
        <f>IF(H209=1,1,0)</f>
        <v/>
      </c>
      <c r="V209" s="6">
        <f>IF(I209&gt;=3,1,0)</f>
        <v/>
      </c>
      <c r="W209" s="6">
        <f>Q209*20+R209*15+S209*30+T209*15+U209*25+V209*20</f>
        <v/>
      </c>
      <c r="X209" s="6">
        <f>IF(W209&gt;=40,"REVIEW","OK")</f>
        <v/>
      </c>
    </row>
    <row r="210">
      <c r="A210" s="6" t="inlineStr">
        <is>
          <t>TXN-00209</t>
        </is>
      </c>
      <c r="B210" s="6" t="inlineStr">
        <is>
          <t>ACC-0057</t>
        </is>
      </c>
      <c r="C210" s="6" t="inlineStr">
        <is>
          <t>Cash Withdrawal (Agent)</t>
        </is>
      </c>
      <c r="D210" s="6" t="n">
        <v>19255</v>
      </c>
      <c r="E210" s="6" t="n">
        <v>5</v>
      </c>
      <c r="F210" s="6" t="n">
        <v>0</v>
      </c>
      <c r="G210" s="6" t="n">
        <v>7</v>
      </c>
      <c r="H210" s="6" t="n">
        <v>0</v>
      </c>
      <c r="I210" s="6" t="n">
        <v>0</v>
      </c>
      <c r="J210" s="6" t="n">
        <v>0</v>
      </c>
      <c r="P210" s="7">
        <f>(D210-VLOOKUP(B210,$L$2:$N$61,2,FALSE))/VLOOKUP(B210,$L$2:$N$61,3,FALSE)</f>
        <v/>
      </c>
      <c r="Q210" s="6">
        <f>IF(P210&gt;2.5,1,0)</f>
        <v/>
      </c>
      <c r="R210" s="6">
        <f>IF(G210&gt;4,1,0)</f>
        <v/>
      </c>
      <c r="S210" s="6">
        <f>IF(AND(F210=1,P210&gt;0.5),1,0)</f>
        <v/>
      </c>
      <c r="T210" s="6">
        <f>IF(AND(OR(E210&gt;=23,E210&lt;=5),P210&gt;0),1,0)</f>
        <v/>
      </c>
      <c r="U210" s="6">
        <f>IF(H210=1,1,0)</f>
        <v/>
      </c>
      <c r="V210" s="6">
        <f>IF(I210&gt;=3,1,0)</f>
        <v/>
      </c>
      <c r="W210" s="6">
        <f>Q210*20+R210*15+S210*30+T210*15+U210*25+V210*20</f>
        <v/>
      </c>
      <c r="X210" s="6">
        <f>IF(W210&gt;=40,"REVIEW","OK")</f>
        <v/>
      </c>
    </row>
    <row r="211">
      <c r="A211" s="6" t="inlineStr">
        <is>
          <t>TXN-00210</t>
        </is>
      </c>
      <c r="B211" s="6" t="inlineStr">
        <is>
          <t>ACC-0023</t>
        </is>
      </c>
      <c r="C211" s="6" t="inlineStr">
        <is>
          <t>Merchant Payment</t>
        </is>
      </c>
      <c r="D211" s="6" t="n">
        <v>2777</v>
      </c>
      <c r="E211" s="6" t="n">
        <v>0</v>
      </c>
      <c r="F211" s="6" t="n">
        <v>0</v>
      </c>
      <c r="G211" s="6" t="n">
        <v>1</v>
      </c>
      <c r="H211" s="6" t="n">
        <v>0</v>
      </c>
      <c r="I211" s="6" t="n">
        <v>1</v>
      </c>
      <c r="J211" s="6" t="n">
        <v>0</v>
      </c>
      <c r="P211" s="7">
        <f>(D211-VLOOKUP(B211,$L$2:$N$61,2,FALSE))/VLOOKUP(B211,$L$2:$N$61,3,FALSE)</f>
        <v/>
      </c>
      <c r="Q211" s="6">
        <f>IF(P211&gt;2.5,1,0)</f>
        <v/>
      </c>
      <c r="R211" s="6">
        <f>IF(G211&gt;4,1,0)</f>
        <v/>
      </c>
      <c r="S211" s="6">
        <f>IF(AND(F211=1,P211&gt;0.5),1,0)</f>
        <v/>
      </c>
      <c r="T211" s="6">
        <f>IF(AND(OR(E211&gt;=23,E211&lt;=5),P211&gt;0),1,0)</f>
        <v/>
      </c>
      <c r="U211" s="6">
        <f>IF(H211=1,1,0)</f>
        <v/>
      </c>
      <c r="V211" s="6">
        <f>IF(I211&gt;=3,1,0)</f>
        <v/>
      </c>
      <c r="W211" s="6">
        <f>Q211*20+R211*15+S211*30+T211*15+U211*25+V211*20</f>
        <v/>
      </c>
      <c r="X211" s="6">
        <f>IF(W211&gt;=40,"REVIEW","OK")</f>
        <v/>
      </c>
    </row>
    <row r="212">
      <c r="A212" s="6" t="inlineStr">
        <is>
          <t>TXN-00211</t>
        </is>
      </c>
      <c r="B212" s="6" t="inlineStr">
        <is>
          <t>ACC-0040</t>
        </is>
      </c>
      <c r="C212" s="6" t="inlineStr">
        <is>
          <t>P2P Transfer</t>
        </is>
      </c>
      <c r="D212" s="6" t="n">
        <v>2628</v>
      </c>
      <c r="E212" s="6" t="n">
        <v>21</v>
      </c>
      <c r="F212" s="6" t="n">
        <v>0</v>
      </c>
      <c r="G212" s="6" t="n">
        <v>2</v>
      </c>
      <c r="H212" s="6" t="n">
        <v>0</v>
      </c>
      <c r="I212" s="6" t="n">
        <v>0</v>
      </c>
      <c r="J212" s="6" t="n">
        <v>0</v>
      </c>
      <c r="P212" s="7">
        <f>(D212-VLOOKUP(B212,$L$2:$N$61,2,FALSE))/VLOOKUP(B212,$L$2:$N$61,3,FALSE)</f>
        <v/>
      </c>
      <c r="Q212" s="6">
        <f>IF(P212&gt;2.5,1,0)</f>
        <v/>
      </c>
      <c r="R212" s="6">
        <f>IF(G212&gt;4,1,0)</f>
        <v/>
      </c>
      <c r="S212" s="6">
        <f>IF(AND(F212=1,P212&gt;0.5),1,0)</f>
        <v/>
      </c>
      <c r="T212" s="6">
        <f>IF(AND(OR(E212&gt;=23,E212&lt;=5),P212&gt;0),1,0)</f>
        <v/>
      </c>
      <c r="U212" s="6">
        <f>IF(H212=1,1,0)</f>
        <v/>
      </c>
      <c r="V212" s="6">
        <f>IF(I212&gt;=3,1,0)</f>
        <v/>
      </c>
      <c r="W212" s="6">
        <f>Q212*20+R212*15+S212*30+T212*15+U212*25+V212*20</f>
        <v/>
      </c>
      <c r="X212" s="6">
        <f>IF(W212&gt;=40,"REVIEW","OK")</f>
        <v/>
      </c>
    </row>
    <row r="213">
      <c r="A213" s="6" t="inlineStr">
        <is>
          <t>TXN-00212</t>
        </is>
      </c>
      <c r="B213" s="6" t="inlineStr">
        <is>
          <t>ACC-0052</t>
        </is>
      </c>
      <c r="C213" s="6" t="inlineStr">
        <is>
          <t>Bill Payment</t>
        </is>
      </c>
      <c r="D213" s="6" t="n">
        <v>7670</v>
      </c>
      <c r="E213" s="6" t="n">
        <v>17</v>
      </c>
      <c r="F213" s="6" t="n">
        <v>0</v>
      </c>
      <c r="G213" s="6" t="n">
        <v>1</v>
      </c>
      <c r="H213" s="6" t="n">
        <v>0</v>
      </c>
      <c r="I213" s="6" t="n">
        <v>0</v>
      </c>
      <c r="J213" s="6" t="n">
        <v>0</v>
      </c>
      <c r="P213" s="7">
        <f>(D213-VLOOKUP(B213,$L$2:$N$61,2,FALSE))/VLOOKUP(B213,$L$2:$N$61,3,FALSE)</f>
        <v/>
      </c>
      <c r="Q213" s="6">
        <f>IF(P213&gt;2.5,1,0)</f>
        <v/>
      </c>
      <c r="R213" s="6">
        <f>IF(G213&gt;4,1,0)</f>
        <v/>
      </c>
      <c r="S213" s="6">
        <f>IF(AND(F213=1,P213&gt;0.5),1,0)</f>
        <v/>
      </c>
      <c r="T213" s="6">
        <f>IF(AND(OR(E213&gt;=23,E213&lt;=5),P213&gt;0),1,0)</f>
        <v/>
      </c>
      <c r="U213" s="6">
        <f>IF(H213=1,1,0)</f>
        <v/>
      </c>
      <c r="V213" s="6">
        <f>IF(I213&gt;=3,1,0)</f>
        <v/>
      </c>
      <c r="W213" s="6">
        <f>Q213*20+R213*15+S213*30+T213*15+U213*25+V213*20</f>
        <v/>
      </c>
      <c r="X213" s="6">
        <f>IF(W213&gt;=40,"REVIEW","OK")</f>
        <v/>
      </c>
    </row>
    <row r="214">
      <c r="A214" s="6" t="inlineStr">
        <is>
          <t>TXN-00213</t>
        </is>
      </c>
      <c r="B214" s="6" t="inlineStr">
        <is>
          <t>ACC-0043</t>
        </is>
      </c>
      <c r="C214" s="6" t="inlineStr">
        <is>
          <t>Cash Withdrawal (Agent)</t>
        </is>
      </c>
      <c r="D214" s="6" t="n">
        <v>14660</v>
      </c>
      <c r="E214" s="6" t="n">
        <v>23</v>
      </c>
      <c r="F214" s="6" t="n">
        <v>0</v>
      </c>
      <c r="G214" s="6" t="n">
        <v>1</v>
      </c>
      <c r="H214" s="6" t="n">
        <v>0</v>
      </c>
      <c r="I214" s="6" t="n">
        <v>1</v>
      </c>
      <c r="J214" s="6" t="n">
        <v>0</v>
      </c>
      <c r="P214" s="7">
        <f>(D214-VLOOKUP(B214,$L$2:$N$61,2,FALSE))/VLOOKUP(B214,$L$2:$N$61,3,FALSE)</f>
        <v/>
      </c>
      <c r="Q214" s="6">
        <f>IF(P214&gt;2.5,1,0)</f>
        <v/>
      </c>
      <c r="R214" s="6">
        <f>IF(G214&gt;4,1,0)</f>
        <v/>
      </c>
      <c r="S214" s="6">
        <f>IF(AND(F214=1,P214&gt;0.5),1,0)</f>
        <v/>
      </c>
      <c r="T214" s="6">
        <f>IF(AND(OR(E214&gt;=23,E214&lt;=5),P214&gt;0),1,0)</f>
        <v/>
      </c>
      <c r="U214" s="6">
        <f>IF(H214=1,1,0)</f>
        <v/>
      </c>
      <c r="V214" s="6">
        <f>IF(I214&gt;=3,1,0)</f>
        <v/>
      </c>
      <c r="W214" s="6">
        <f>Q214*20+R214*15+S214*30+T214*15+U214*25+V214*20</f>
        <v/>
      </c>
      <c r="X214" s="6">
        <f>IF(W214&gt;=40,"REVIEW","OK")</f>
        <v/>
      </c>
    </row>
    <row r="215">
      <c r="A215" s="6" t="inlineStr">
        <is>
          <t>TXN-00214</t>
        </is>
      </c>
      <c r="B215" s="6" t="inlineStr">
        <is>
          <t>ACC-0018</t>
        </is>
      </c>
      <c r="C215" s="6" t="inlineStr">
        <is>
          <t>Merchant Payment</t>
        </is>
      </c>
      <c r="D215" s="6" t="n">
        <v>6108</v>
      </c>
      <c r="E215" s="6" t="n">
        <v>6</v>
      </c>
      <c r="F215" s="6" t="n">
        <v>0</v>
      </c>
      <c r="G215" s="6" t="n">
        <v>2</v>
      </c>
      <c r="H215" s="6" t="n">
        <v>0</v>
      </c>
      <c r="I215" s="6" t="n">
        <v>0</v>
      </c>
      <c r="J215" s="6" t="n">
        <v>0</v>
      </c>
      <c r="P215" s="7">
        <f>(D215-VLOOKUP(B215,$L$2:$N$61,2,FALSE))/VLOOKUP(B215,$L$2:$N$61,3,FALSE)</f>
        <v/>
      </c>
      <c r="Q215" s="6">
        <f>IF(P215&gt;2.5,1,0)</f>
        <v/>
      </c>
      <c r="R215" s="6">
        <f>IF(G215&gt;4,1,0)</f>
        <v/>
      </c>
      <c r="S215" s="6">
        <f>IF(AND(F215=1,P215&gt;0.5),1,0)</f>
        <v/>
      </c>
      <c r="T215" s="6">
        <f>IF(AND(OR(E215&gt;=23,E215&lt;=5),P215&gt;0),1,0)</f>
        <v/>
      </c>
      <c r="U215" s="6">
        <f>IF(H215=1,1,0)</f>
        <v/>
      </c>
      <c r="V215" s="6">
        <f>IF(I215&gt;=3,1,0)</f>
        <v/>
      </c>
      <c r="W215" s="6">
        <f>Q215*20+R215*15+S215*30+T215*15+U215*25+V215*20</f>
        <v/>
      </c>
      <c r="X215" s="6">
        <f>IF(W215&gt;=40,"REVIEW","OK")</f>
        <v/>
      </c>
    </row>
    <row r="216">
      <c r="A216" s="6" t="inlineStr">
        <is>
          <t>TXN-00215</t>
        </is>
      </c>
      <c r="B216" s="6" t="inlineStr">
        <is>
          <t>ACC-0018</t>
        </is>
      </c>
      <c r="C216" s="6" t="inlineStr">
        <is>
          <t>P2P Transfer</t>
        </is>
      </c>
      <c r="D216" s="6" t="n">
        <v>7091</v>
      </c>
      <c r="E216" s="6" t="n">
        <v>8</v>
      </c>
      <c r="F216" s="6" t="n">
        <v>0</v>
      </c>
      <c r="G216" s="6" t="n">
        <v>3</v>
      </c>
      <c r="H216" s="6" t="n">
        <v>0</v>
      </c>
      <c r="I216" s="6" t="n">
        <v>0</v>
      </c>
      <c r="J216" s="6" t="n">
        <v>0</v>
      </c>
      <c r="P216" s="7">
        <f>(D216-VLOOKUP(B216,$L$2:$N$61,2,FALSE))/VLOOKUP(B216,$L$2:$N$61,3,FALSE)</f>
        <v/>
      </c>
      <c r="Q216" s="6">
        <f>IF(P216&gt;2.5,1,0)</f>
        <v/>
      </c>
      <c r="R216" s="6">
        <f>IF(G216&gt;4,1,0)</f>
        <v/>
      </c>
      <c r="S216" s="6">
        <f>IF(AND(F216=1,P216&gt;0.5),1,0)</f>
        <v/>
      </c>
      <c r="T216" s="6">
        <f>IF(AND(OR(E216&gt;=23,E216&lt;=5),P216&gt;0),1,0)</f>
        <v/>
      </c>
      <c r="U216" s="6">
        <f>IF(H216=1,1,0)</f>
        <v/>
      </c>
      <c r="V216" s="6">
        <f>IF(I216&gt;=3,1,0)</f>
        <v/>
      </c>
      <c r="W216" s="6">
        <f>Q216*20+R216*15+S216*30+T216*15+U216*25+V216*20</f>
        <v/>
      </c>
      <c r="X216" s="6">
        <f>IF(W216&gt;=40,"REVIEW","OK")</f>
        <v/>
      </c>
    </row>
    <row r="217">
      <c r="A217" s="6" t="inlineStr">
        <is>
          <t>TXN-00216</t>
        </is>
      </c>
      <c r="B217" s="6" t="inlineStr">
        <is>
          <t>ACC-0035</t>
        </is>
      </c>
      <c r="C217" s="6" t="inlineStr">
        <is>
          <t>P2P Transfer</t>
        </is>
      </c>
      <c r="D217" s="6" t="n">
        <v>6599</v>
      </c>
      <c r="E217" s="6" t="n">
        <v>18</v>
      </c>
      <c r="F217" s="6" t="n">
        <v>0</v>
      </c>
      <c r="G217" s="6" t="n">
        <v>2</v>
      </c>
      <c r="H217" s="6" t="n">
        <v>0</v>
      </c>
      <c r="I217" s="6" t="n">
        <v>2</v>
      </c>
      <c r="J217" s="6" t="n">
        <v>0</v>
      </c>
      <c r="P217" s="7">
        <f>(D217-VLOOKUP(B217,$L$2:$N$61,2,FALSE))/VLOOKUP(B217,$L$2:$N$61,3,FALSE)</f>
        <v/>
      </c>
      <c r="Q217" s="6">
        <f>IF(P217&gt;2.5,1,0)</f>
        <v/>
      </c>
      <c r="R217" s="6">
        <f>IF(G217&gt;4,1,0)</f>
        <v/>
      </c>
      <c r="S217" s="6">
        <f>IF(AND(F217=1,P217&gt;0.5),1,0)</f>
        <v/>
      </c>
      <c r="T217" s="6">
        <f>IF(AND(OR(E217&gt;=23,E217&lt;=5),P217&gt;0),1,0)</f>
        <v/>
      </c>
      <c r="U217" s="6">
        <f>IF(H217=1,1,0)</f>
        <v/>
      </c>
      <c r="V217" s="6">
        <f>IF(I217&gt;=3,1,0)</f>
        <v/>
      </c>
      <c r="W217" s="6">
        <f>Q217*20+R217*15+S217*30+T217*15+U217*25+V217*20</f>
        <v/>
      </c>
      <c r="X217" s="6">
        <f>IF(W217&gt;=40,"REVIEW","OK")</f>
        <v/>
      </c>
    </row>
    <row r="218">
      <c r="A218" s="6" t="inlineStr">
        <is>
          <t>TXN-00217</t>
        </is>
      </c>
      <c r="B218" s="6" t="inlineStr">
        <is>
          <t>ACC-0053</t>
        </is>
      </c>
      <c r="C218" s="6" t="inlineStr">
        <is>
          <t>P2P Transfer</t>
        </is>
      </c>
      <c r="D218" s="6" t="n">
        <v>4888</v>
      </c>
      <c r="E218" s="6" t="n">
        <v>4</v>
      </c>
      <c r="F218" s="6" t="n">
        <v>0</v>
      </c>
      <c r="G218" s="6" t="n">
        <v>7</v>
      </c>
      <c r="H218" s="6" t="n">
        <v>0</v>
      </c>
      <c r="I218" s="6" t="n">
        <v>0</v>
      </c>
      <c r="J218" s="6" t="n">
        <v>0</v>
      </c>
      <c r="P218" s="7">
        <f>(D218-VLOOKUP(B218,$L$2:$N$61,2,FALSE))/VLOOKUP(B218,$L$2:$N$61,3,FALSE)</f>
        <v/>
      </c>
      <c r="Q218" s="6">
        <f>IF(P218&gt;2.5,1,0)</f>
        <v/>
      </c>
      <c r="R218" s="6">
        <f>IF(G218&gt;4,1,0)</f>
        <v/>
      </c>
      <c r="S218" s="6">
        <f>IF(AND(F218=1,P218&gt;0.5),1,0)</f>
        <v/>
      </c>
      <c r="T218" s="6">
        <f>IF(AND(OR(E218&gt;=23,E218&lt;=5),P218&gt;0),1,0)</f>
        <v/>
      </c>
      <c r="U218" s="6">
        <f>IF(H218=1,1,0)</f>
        <v/>
      </c>
      <c r="V218" s="6">
        <f>IF(I218&gt;=3,1,0)</f>
        <v/>
      </c>
      <c r="W218" s="6">
        <f>Q218*20+R218*15+S218*30+T218*15+U218*25+V218*20</f>
        <v/>
      </c>
      <c r="X218" s="6">
        <f>IF(W218&gt;=40,"REVIEW","OK")</f>
        <v/>
      </c>
    </row>
    <row r="219">
      <c r="A219" s="6" t="inlineStr">
        <is>
          <t>TXN-00218</t>
        </is>
      </c>
      <c r="B219" s="6" t="inlineStr">
        <is>
          <t>ACC-0013</t>
        </is>
      </c>
      <c r="C219" s="6" t="inlineStr">
        <is>
          <t>P2P Transfer</t>
        </is>
      </c>
      <c r="D219" s="6" t="n">
        <v>2796</v>
      </c>
      <c r="E219" s="6" t="n">
        <v>19</v>
      </c>
      <c r="F219" s="6" t="n">
        <v>0</v>
      </c>
      <c r="G219" s="6" t="n">
        <v>1</v>
      </c>
      <c r="H219" s="6" t="n">
        <v>0</v>
      </c>
      <c r="I219" s="6" t="n">
        <v>0</v>
      </c>
      <c r="J219" s="6" t="n">
        <v>0</v>
      </c>
      <c r="P219" s="7">
        <f>(D219-VLOOKUP(B219,$L$2:$N$61,2,FALSE))/VLOOKUP(B219,$L$2:$N$61,3,FALSE)</f>
        <v/>
      </c>
      <c r="Q219" s="6">
        <f>IF(P219&gt;2.5,1,0)</f>
        <v/>
      </c>
      <c r="R219" s="6">
        <f>IF(G219&gt;4,1,0)</f>
        <v/>
      </c>
      <c r="S219" s="6">
        <f>IF(AND(F219=1,P219&gt;0.5),1,0)</f>
        <v/>
      </c>
      <c r="T219" s="6">
        <f>IF(AND(OR(E219&gt;=23,E219&lt;=5),P219&gt;0),1,0)</f>
        <v/>
      </c>
      <c r="U219" s="6">
        <f>IF(H219=1,1,0)</f>
        <v/>
      </c>
      <c r="V219" s="6">
        <f>IF(I219&gt;=3,1,0)</f>
        <v/>
      </c>
      <c r="W219" s="6">
        <f>Q219*20+R219*15+S219*30+T219*15+U219*25+V219*20</f>
        <v/>
      </c>
      <c r="X219" s="6">
        <f>IF(W219&gt;=40,"REVIEW","OK")</f>
        <v/>
      </c>
    </row>
    <row r="220">
      <c r="A220" s="6" t="inlineStr">
        <is>
          <t>TXN-00219</t>
        </is>
      </c>
      <c r="B220" s="6" t="inlineStr">
        <is>
          <t>ACC-0042</t>
        </is>
      </c>
      <c r="C220" s="6" t="inlineStr">
        <is>
          <t>P2P Transfer</t>
        </is>
      </c>
      <c r="D220" s="6" t="n">
        <v>10875</v>
      </c>
      <c r="E220" s="6" t="n">
        <v>0</v>
      </c>
      <c r="F220" s="6" t="n">
        <v>0</v>
      </c>
      <c r="G220" s="6" t="n">
        <v>4</v>
      </c>
      <c r="H220" s="6" t="n">
        <v>0</v>
      </c>
      <c r="I220" s="6" t="n">
        <v>0</v>
      </c>
      <c r="J220" s="6" t="n">
        <v>0</v>
      </c>
      <c r="P220" s="7">
        <f>(D220-VLOOKUP(B220,$L$2:$N$61,2,FALSE))/VLOOKUP(B220,$L$2:$N$61,3,FALSE)</f>
        <v/>
      </c>
      <c r="Q220" s="6">
        <f>IF(P220&gt;2.5,1,0)</f>
        <v/>
      </c>
      <c r="R220" s="6">
        <f>IF(G220&gt;4,1,0)</f>
        <v/>
      </c>
      <c r="S220" s="6">
        <f>IF(AND(F220=1,P220&gt;0.5),1,0)</f>
        <v/>
      </c>
      <c r="T220" s="6">
        <f>IF(AND(OR(E220&gt;=23,E220&lt;=5),P220&gt;0),1,0)</f>
        <v/>
      </c>
      <c r="U220" s="6">
        <f>IF(H220=1,1,0)</f>
        <v/>
      </c>
      <c r="V220" s="6">
        <f>IF(I220&gt;=3,1,0)</f>
        <v/>
      </c>
      <c r="W220" s="6">
        <f>Q220*20+R220*15+S220*30+T220*15+U220*25+V220*20</f>
        <v/>
      </c>
      <c r="X220" s="6">
        <f>IF(W220&gt;=40,"REVIEW","OK")</f>
        <v/>
      </c>
    </row>
    <row r="221">
      <c r="A221" s="6" t="inlineStr">
        <is>
          <t>TXN-00220</t>
        </is>
      </c>
      <c r="B221" s="6" t="inlineStr">
        <is>
          <t>ACC-0004</t>
        </is>
      </c>
      <c r="C221" s="6" t="inlineStr">
        <is>
          <t>P2P Transfer</t>
        </is>
      </c>
      <c r="D221" s="6" t="n">
        <v>4619</v>
      </c>
      <c r="E221" s="6" t="n">
        <v>23</v>
      </c>
      <c r="F221" s="6" t="n">
        <v>1</v>
      </c>
      <c r="G221" s="6" t="n">
        <v>4</v>
      </c>
      <c r="H221" s="6" t="n">
        <v>0</v>
      </c>
      <c r="I221" s="6" t="n">
        <v>0</v>
      </c>
      <c r="J221" s="6" t="n">
        <v>0</v>
      </c>
      <c r="P221" s="7">
        <f>(D221-VLOOKUP(B221,$L$2:$N$61,2,FALSE))/VLOOKUP(B221,$L$2:$N$61,3,FALSE)</f>
        <v/>
      </c>
      <c r="Q221" s="6">
        <f>IF(P221&gt;2.5,1,0)</f>
        <v/>
      </c>
      <c r="R221" s="6">
        <f>IF(G221&gt;4,1,0)</f>
        <v/>
      </c>
      <c r="S221" s="6">
        <f>IF(AND(F221=1,P221&gt;0.5),1,0)</f>
        <v/>
      </c>
      <c r="T221" s="6">
        <f>IF(AND(OR(E221&gt;=23,E221&lt;=5),P221&gt;0),1,0)</f>
        <v/>
      </c>
      <c r="U221" s="6">
        <f>IF(H221=1,1,0)</f>
        <v/>
      </c>
      <c r="V221" s="6">
        <f>IF(I221&gt;=3,1,0)</f>
        <v/>
      </c>
      <c r="W221" s="6">
        <f>Q221*20+R221*15+S221*30+T221*15+U221*25+V221*20</f>
        <v/>
      </c>
      <c r="X221" s="6">
        <f>IF(W221&gt;=40,"REVIEW","OK")</f>
        <v/>
      </c>
    </row>
    <row r="222">
      <c r="A222" s="6" t="inlineStr">
        <is>
          <t>TXN-00221</t>
        </is>
      </c>
      <c r="B222" s="6" t="inlineStr">
        <is>
          <t>ACC-0020</t>
        </is>
      </c>
      <c r="C222" s="6" t="inlineStr">
        <is>
          <t>Bill Payment</t>
        </is>
      </c>
      <c r="D222" s="6" t="n">
        <v>6105</v>
      </c>
      <c r="E222" s="6" t="n">
        <v>12</v>
      </c>
      <c r="F222" s="6" t="n">
        <v>0</v>
      </c>
      <c r="G222" s="6" t="n">
        <v>1</v>
      </c>
      <c r="H222" s="6" t="n">
        <v>0</v>
      </c>
      <c r="I222" s="6" t="n">
        <v>0</v>
      </c>
      <c r="J222" s="6" t="n">
        <v>0</v>
      </c>
      <c r="P222" s="7">
        <f>(D222-VLOOKUP(B222,$L$2:$N$61,2,FALSE))/VLOOKUP(B222,$L$2:$N$61,3,FALSE)</f>
        <v/>
      </c>
      <c r="Q222" s="6">
        <f>IF(P222&gt;2.5,1,0)</f>
        <v/>
      </c>
      <c r="R222" s="6">
        <f>IF(G222&gt;4,1,0)</f>
        <v/>
      </c>
      <c r="S222" s="6">
        <f>IF(AND(F222=1,P222&gt;0.5),1,0)</f>
        <v/>
      </c>
      <c r="T222" s="6">
        <f>IF(AND(OR(E222&gt;=23,E222&lt;=5),P222&gt;0),1,0)</f>
        <v/>
      </c>
      <c r="U222" s="6">
        <f>IF(H222=1,1,0)</f>
        <v/>
      </c>
      <c r="V222" s="6">
        <f>IF(I222&gt;=3,1,0)</f>
        <v/>
      </c>
      <c r="W222" s="6">
        <f>Q222*20+R222*15+S222*30+T222*15+U222*25+V222*20</f>
        <v/>
      </c>
      <c r="X222" s="6">
        <f>IF(W222&gt;=40,"REVIEW","OK")</f>
        <v/>
      </c>
    </row>
    <row r="223">
      <c r="A223" s="6" t="inlineStr">
        <is>
          <t>TXN-00222</t>
        </is>
      </c>
      <c r="B223" s="6" t="inlineStr">
        <is>
          <t>ACC-0059</t>
        </is>
      </c>
      <c r="C223" s="6" t="inlineStr">
        <is>
          <t>Airtime Top-up</t>
        </is>
      </c>
      <c r="D223" s="6" t="n">
        <v>9722</v>
      </c>
      <c r="E223" s="6" t="n">
        <v>4</v>
      </c>
      <c r="F223" s="6" t="n">
        <v>0</v>
      </c>
      <c r="G223" s="6" t="n">
        <v>2</v>
      </c>
      <c r="H223" s="6" t="n">
        <v>0</v>
      </c>
      <c r="I223" s="6" t="n">
        <v>0</v>
      </c>
      <c r="J223" s="6" t="n">
        <v>0</v>
      </c>
      <c r="P223" s="7">
        <f>(D223-VLOOKUP(B223,$L$2:$N$61,2,FALSE))/VLOOKUP(B223,$L$2:$N$61,3,FALSE)</f>
        <v/>
      </c>
      <c r="Q223" s="6">
        <f>IF(P223&gt;2.5,1,0)</f>
        <v/>
      </c>
      <c r="R223" s="6">
        <f>IF(G223&gt;4,1,0)</f>
        <v/>
      </c>
      <c r="S223" s="6">
        <f>IF(AND(F223=1,P223&gt;0.5),1,0)</f>
        <v/>
      </c>
      <c r="T223" s="6">
        <f>IF(AND(OR(E223&gt;=23,E223&lt;=5),P223&gt;0),1,0)</f>
        <v/>
      </c>
      <c r="U223" s="6">
        <f>IF(H223=1,1,0)</f>
        <v/>
      </c>
      <c r="V223" s="6">
        <f>IF(I223&gt;=3,1,0)</f>
        <v/>
      </c>
      <c r="W223" s="6">
        <f>Q223*20+R223*15+S223*30+T223*15+U223*25+V223*20</f>
        <v/>
      </c>
      <c r="X223" s="6">
        <f>IF(W223&gt;=40,"REVIEW","OK")</f>
        <v/>
      </c>
    </row>
    <row r="224">
      <c r="A224" s="6" t="inlineStr">
        <is>
          <t>TXN-00223</t>
        </is>
      </c>
      <c r="B224" s="6" t="inlineStr">
        <is>
          <t>ACC-0046</t>
        </is>
      </c>
      <c r="C224" s="6" t="inlineStr">
        <is>
          <t>Cash Withdrawal (Agent)</t>
        </is>
      </c>
      <c r="D224" s="6" t="n">
        <v>10019</v>
      </c>
      <c r="E224" s="6" t="n">
        <v>1</v>
      </c>
      <c r="F224" s="6" t="n">
        <v>0</v>
      </c>
      <c r="G224" s="6" t="n">
        <v>2</v>
      </c>
      <c r="H224" s="6" t="n">
        <v>0</v>
      </c>
      <c r="I224" s="6" t="n">
        <v>0</v>
      </c>
      <c r="J224" s="6" t="n">
        <v>0</v>
      </c>
      <c r="P224" s="7">
        <f>(D224-VLOOKUP(B224,$L$2:$N$61,2,FALSE))/VLOOKUP(B224,$L$2:$N$61,3,FALSE)</f>
        <v/>
      </c>
      <c r="Q224" s="6">
        <f>IF(P224&gt;2.5,1,0)</f>
        <v/>
      </c>
      <c r="R224" s="6">
        <f>IF(G224&gt;4,1,0)</f>
        <v/>
      </c>
      <c r="S224" s="6">
        <f>IF(AND(F224=1,P224&gt;0.5),1,0)</f>
        <v/>
      </c>
      <c r="T224" s="6">
        <f>IF(AND(OR(E224&gt;=23,E224&lt;=5),P224&gt;0),1,0)</f>
        <v/>
      </c>
      <c r="U224" s="6">
        <f>IF(H224=1,1,0)</f>
        <v/>
      </c>
      <c r="V224" s="6">
        <f>IF(I224&gt;=3,1,0)</f>
        <v/>
      </c>
      <c r="W224" s="6">
        <f>Q224*20+R224*15+S224*30+T224*15+U224*25+V224*20</f>
        <v/>
      </c>
      <c r="X224" s="6">
        <f>IF(W224&gt;=40,"REVIEW","OK")</f>
        <v/>
      </c>
    </row>
    <row r="225">
      <c r="A225" s="6" t="inlineStr">
        <is>
          <t>TXN-00224</t>
        </is>
      </c>
      <c r="B225" s="6" t="inlineStr">
        <is>
          <t>ACC-0048</t>
        </is>
      </c>
      <c r="C225" s="6" t="inlineStr">
        <is>
          <t>Bill Payment</t>
        </is>
      </c>
      <c r="D225" s="6" t="n">
        <v>13840</v>
      </c>
      <c r="E225" s="6" t="n">
        <v>19</v>
      </c>
      <c r="F225" s="6" t="n">
        <v>0</v>
      </c>
      <c r="G225" s="6" t="n">
        <v>5</v>
      </c>
      <c r="H225" s="6" t="n">
        <v>0</v>
      </c>
      <c r="I225" s="6" t="n">
        <v>0</v>
      </c>
      <c r="J225" s="6" t="n">
        <v>0</v>
      </c>
      <c r="P225" s="7">
        <f>(D225-VLOOKUP(B225,$L$2:$N$61,2,FALSE))/VLOOKUP(B225,$L$2:$N$61,3,FALSE)</f>
        <v/>
      </c>
      <c r="Q225" s="6">
        <f>IF(P225&gt;2.5,1,0)</f>
        <v/>
      </c>
      <c r="R225" s="6">
        <f>IF(G225&gt;4,1,0)</f>
        <v/>
      </c>
      <c r="S225" s="6">
        <f>IF(AND(F225=1,P225&gt;0.5),1,0)</f>
        <v/>
      </c>
      <c r="T225" s="6">
        <f>IF(AND(OR(E225&gt;=23,E225&lt;=5),P225&gt;0),1,0)</f>
        <v/>
      </c>
      <c r="U225" s="6">
        <f>IF(H225=1,1,0)</f>
        <v/>
      </c>
      <c r="V225" s="6">
        <f>IF(I225&gt;=3,1,0)</f>
        <v/>
      </c>
      <c r="W225" s="6">
        <f>Q225*20+R225*15+S225*30+T225*15+U225*25+V225*20</f>
        <v/>
      </c>
      <c r="X225" s="6">
        <f>IF(W225&gt;=40,"REVIEW","OK")</f>
        <v/>
      </c>
    </row>
    <row r="226">
      <c r="A226" s="6" t="inlineStr">
        <is>
          <t>TXN-00225</t>
        </is>
      </c>
      <c r="B226" s="6" t="inlineStr">
        <is>
          <t>ACC-0007</t>
        </is>
      </c>
      <c r="C226" s="6" t="inlineStr">
        <is>
          <t>Cash Withdrawal (Agent)</t>
        </is>
      </c>
      <c r="D226" s="6" t="n">
        <v>6014</v>
      </c>
      <c r="E226" s="6" t="n">
        <v>10</v>
      </c>
      <c r="F226" s="6" t="n">
        <v>0</v>
      </c>
      <c r="G226" s="6" t="n">
        <v>4</v>
      </c>
      <c r="H226" s="6" t="n">
        <v>0</v>
      </c>
      <c r="I226" s="6" t="n">
        <v>1</v>
      </c>
      <c r="J226" s="6" t="n">
        <v>0</v>
      </c>
      <c r="P226" s="7">
        <f>(D226-VLOOKUP(B226,$L$2:$N$61,2,FALSE))/VLOOKUP(B226,$L$2:$N$61,3,FALSE)</f>
        <v/>
      </c>
      <c r="Q226" s="6">
        <f>IF(P226&gt;2.5,1,0)</f>
        <v/>
      </c>
      <c r="R226" s="6">
        <f>IF(G226&gt;4,1,0)</f>
        <v/>
      </c>
      <c r="S226" s="6">
        <f>IF(AND(F226=1,P226&gt;0.5),1,0)</f>
        <v/>
      </c>
      <c r="T226" s="6">
        <f>IF(AND(OR(E226&gt;=23,E226&lt;=5),P226&gt;0),1,0)</f>
        <v/>
      </c>
      <c r="U226" s="6">
        <f>IF(H226=1,1,0)</f>
        <v/>
      </c>
      <c r="V226" s="6">
        <f>IF(I226&gt;=3,1,0)</f>
        <v/>
      </c>
      <c r="W226" s="6">
        <f>Q226*20+R226*15+S226*30+T226*15+U226*25+V226*20</f>
        <v/>
      </c>
      <c r="X226" s="6">
        <f>IF(W226&gt;=40,"REVIEW","OK")</f>
        <v/>
      </c>
    </row>
    <row r="227">
      <c r="A227" s="6" t="inlineStr">
        <is>
          <t>TXN-00226</t>
        </is>
      </c>
      <c r="B227" s="6" t="inlineStr">
        <is>
          <t>ACC-0005</t>
        </is>
      </c>
      <c r="C227" s="6" t="inlineStr">
        <is>
          <t>Cash Withdrawal (Agent)</t>
        </is>
      </c>
      <c r="D227" s="6" t="n">
        <v>6560</v>
      </c>
      <c r="E227" s="6" t="n">
        <v>17</v>
      </c>
      <c r="F227" s="6" t="n">
        <v>1</v>
      </c>
      <c r="G227" s="6" t="n">
        <v>2</v>
      </c>
      <c r="H227" s="6" t="n">
        <v>0</v>
      </c>
      <c r="I227" s="6" t="n">
        <v>0</v>
      </c>
      <c r="J227" s="6" t="n">
        <v>0</v>
      </c>
      <c r="P227" s="7">
        <f>(D227-VLOOKUP(B227,$L$2:$N$61,2,FALSE))/VLOOKUP(B227,$L$2:$N$61,3,FALSE)</f>
        <v/>
      </c>
      <c r="Q227" s="6">
        <f>IF(P227&gt;2.5,1,0)</f>
        <v/>
      </c>
      <c r="R227" s="6">
        <f>IF(G227&gt;4,1,0)</f>
        <v/>
      </c>
      <c r="S227" s="6">
        <f>IF(AND(F227=1,P227&gt;0.5),1,0)</f>
        <v/>
      </c>
      <c r="T227" s="6">
        <f>IF(AND(OR(E227&gt;=23,E227&lt;=5),P227&gt;0),1,0)</f>
        <v/>
      </c>
      <c r="U227" s="6">
        <f>IF(H227=1,1,0)</f>
        <v/>
      </c>
      <c r="V227" s="6">
        <f>IF(I227&gt;=3,1,0)</f>
        <v/>
      </c>
      <c r="W227" s="6">
        <f>Q227*20+R227*15+S227*30+T227*15+U227*25+V227*20</f>
        <v/>
      </c>
      <c r="X227" s="6">
        <f>IF(W227&gt;=40,"REVIEW","OK")</f>
        <v/>
      </c>
    </row>
    <row r="228">
      <c r="A228" s="6" t="inlineStr">
        <is>
          <t>TXN-00227</t>
        </is>
      </c>
      <c r="B228" s="6" t="inlineStr">
        <is>
          <t>ACC-0005</t>
        </is>
      </c>
      <c r="C228" s="6" t="inlineStr">
        <is>
          <t>P2P Transfer</t>
        </is>
      </c>
      <c r="D228" s="6" t="n">
        <v>8940</v>
      </c>
      <c r="E228" s="6" t="n">
        <v>13</v>
      </c>
      <c r="F228" s="6" t="n">
        <v>0</v>
      </c>
      <c r="G228" s="6" t="n">
        <v>1</v>
      </c>
      <c r="H228" s="6" t="n">
        <v>0</v>
      </c>
      <c r="I228" s="6" t="n">
        <v>0</v>
      </c>
      <c r="J228" s="6" t="n">
        <v>0</v>
      </c>
      <c r="P228" s="7">
        <f>(D228-VLOOKUP(B228,$L$2:$N$61,2,FALSE))/VLOOKUP(B228,$L$2:$N$61,3,FALSE)</f>
        <v/>
      </c>
      <c r="Q228" s="6">
        <f>IF(P228&gt;2.5,1,0)</f>
        <v/>
      </c>
      <c r="R228" s="6">
        <f>IF(G228&gt;4,1,0)</f>
        <v/>
      </c>
      <c r="S228" s="6">
        <f>IF(AND(F228=1,P228&gt;0.5),1,0)</f>
        <v/>
      </c>
      <c r="T228" s="6">
        <f>IF(AND(OR(E228&gt;=23,E228&lt;=5),P228&gt;0),1,0)</f>
        <v/>
      </c>
      <c r="U228" s="6">
        <f>IF(H228=1,1,0)</f>
        <v/>
      </c>
      <c r="V228" s="6">
        <f>IF(I228&gt;=3,1,0)</f>
        <v/>
      </c>
      <c r="W228" s="6">
        <f>Q228*20+R228*15+S228*30+T228*15+U228*25+V228*20</f>
        <v/>
      </c>
      <c r="X228" s="6">
        <f>IF(W228&gt;=40,"REVIEW","OK")</f>
        <v/>
      </c>
    </row>
    <row r="229">
      <c r="A229" s="6" t="inlineStr">
        <is>
          <t>TXN-00228</t>
        </is>
      </c>
      <c r="B229" s="6" t="inlineStr">
        <is>
          <t>ACC-0042</t>
        </is>
      </c>
      <c r="C229" s="6" t="inlineStr">
        <is>
          <t>P2P Transfer</t>
        </is>
      </c>
      <c r="D229" s="6" t="n">
        <v>11034</v>
      </c>
      <c r="E229" s="6" t="n">
        <v>17</v>
      </c>
      <c r="F229" s="6" t="n">
        <v>0</v>
      </c>
      <c r="G229" s="6" t="n">
        <v>1</v>
      </c>
      <c r="H229" s="6" t="n">
        <v>0</v>
      </c>
      <c r="I229" s="6" t="n">
        <v>0</v>
      </c>
      <c r="J229" s="6" t="n">
        <v>0</v>
      </c>
      <c r="P229" s="7">
        <f>(D229-VLOOKUP(B229,$L$2:$N$61,2,FALSE))/VLOOKUP(B229,$L$2:$N$61,3,FALSE)</f>
        <v/>
      </c>
      <c r="Q229" s="6">
        <f>IF(P229&gt;2.5,1,0)</f>
        <v/>
      </c>
      <c r="R229" s="6">
        <f>IF(G229&gt;4,1,0)</f>
        <v/>
      </c>
      <c r="S229" s="6">
        <f>IF(AND(F229=1,P229&gt;0.5),1,0)</f>
        <v/>
      </c>
      <c r="T229" s="6">
        <f>IF(AND(OR(E229&gt;=23,E229&lt;=5),P229&gt;0),1,0)</f>
        <v/>
      </c>
      <c r="U229" s="6">
        <f>IF(H229=1,1,0)</f>
        <v/>
      </c>
      <c r="V229" s="6">
        <f>IF(I229&gt;=3,1,0)</f>
        <v/>
      </c>
      <c r="W229" s="6">
        <f>Q229*20+R229*15+S229*30+T229*15+U229*25+V229*20</f>
        <v/>
      </c>
      <c r="X229" s="6">
        <f>IF(W229&gt;=40,"REVIEW","OK")</f>
        <v/>
      </c>
    </row>
    <row r="230">
      <c r="A230" s="6" t="inlineStr">
        <is>
          <t>TXN-00229</t>
        </is>
      </c>
      <c r="B230" s="6" t="inlineStr">
        <is>
          <t>ACC-0060</t>
        </is>
      </c>
      <c r="C230" s="6" t="inlineStr">
        <is>
          <t>P2P Transfer</t>
        </is>
      </c>
      <c r="D230" s="6" t="n">
        <v>3068</v>
      </c>
      <c r="E230" s="6" t="n">
        <v>17</v>
      </c>
      <c r="F230" s="6" t="n">
        <v>1</v>
      </c>
      <c r="G230" s="6" t="n">
        <v>2</v>
      </c>
      <c r="H230" s="6" t="n">
        <v>0</v>
      </c>
      <c r="I230" s="6" t="n">
        <v>0</v>
      </c>
      <c r="J230" s="6" t="n">
        <v>0</v>
      </c>
      <c r="P230" s="7">
        <f>(D230-VLOOKUP(B230,$L$2:$N$61,2,FALSE))/VLOOKUP(B230,$L$2:$N$61,3,FALSE)</f>
        <v/>
      </c>
      <c r="Q230" s="6">
        <f>IF(P230&gt;2.5,1,0)</f>
        <v/>
      </c>
      <c r="R230" s="6">
        <f>IF(G230&gt;4,1,0)</f>
        <v/>
      </c>
      <c r="S230" s="6">
        <f>IF(AND(F230=1,P230&gt;0.5),1,0)</f>
        <v/>
      </c>
      <c r="T230" s="6">
        <f>IF(AND(OR(E230&gt;=23,E230&lt;=5),P230&gt;0),1,0)</f>
        <v/>
      </c>
      <c r="U230" s="6">
        <f>IF(H230=1,1,0)</f>
        <v/>
      </c>
      <c r="V230" s="6">
        <f>IF(I230&gt;=3,1,0)</f>
        <v/>
      </c>
      <c r="W230" s="6">
        <f>Q230*20+R230*15+S230*30+T230*15+U230*25+V230*20</f>
        <v/>
      </c>
      <c r="X230" s="6">
        <f>IF(W230&gt;=40,"REVIEW","OK")</f>
        <v/>
      </c>
    </row>
    <row r="231">
      <c r="A231" s="6" t="inlineStr">
        <is>
          <t>TXN-00230</t>
        </is>
      </c>
      <c r="B231" s="6" t="inlineStr">
        <is>
          <t>ACC-0023</t>
        </is>
      </c>
      <c r="C231" s="6" t="inlineStr">
        <is>
          <t>P2P Transfer</t>
        </is>
      </c>
      <c r="D231" s="6" t="n">
        <v>2910</v>
      </c>
      <c r="E231" s="6" t="n">
        <v>0</v>
      </c>
      <c r="F231" s="6" t="n">
        <v>0</v>
      </c>
      <c r="G231" s="6" t="n">
        <v>1</v>
      </c>
      <c r="H231" s="6" t="n">
        <v>0</v>
      </c>
      <c r="I231" s="6" t="n">
        <v>0</v>
      </c>
      <c r="J231" s="6" t="n">
        <v>0</v>
      </c>
      <c r="P231" s="7">
        <f>(D231-VLOOKUP(B231,$L$2:$N$61,2,FALSE))/VLOOKUP(B231,$L$2:$N$61,3,FALSE)</f>
        <v/>
      </c>
      <c r="Q231" s="6">
        <f>IF(P231&gt;2.5,1,0)</f>
        <v/>
      </c>
      <c r="R231" s="6">
        <f>IF(G231&gt;4,1,0)</f>
        <v/>
      </c>
      <c r="S231" s="6">
        <f>IF(AND(F231=1,P231&gt;0.5),1,0)</f>
        <v/>
      </c>
      <c r="T231" s="6">
        <f>IF(AND(OR(E231&gt;=23,E231&lt;=5),P231&gt;0),1,0)</f>
        <v/>
      </c>
      <c r="U231" s="6">
        <f>IF(H231=1,1,0)</f>
        <v/>
      </c>
      <c r="V231" s="6">
        <f>IF(I231&gt;=3,1,0)</f>
        <v/>
      </c>
      <c r="W231" s="6">
        <f>Q231*20+R231*15+S231*30+T231*15+U231*25+V231*20</f>
        <v/>
      </c>
      <c r="X231" s="6">
        <f>IF(W231&gt;=40,"REVIEW","OK")</f>
        <v/>
      </c>
    </row>
    <row r="232">
      <c r="A232" s="6" t="inlineStr">
        <is>
          <t>TXN-00231</t>
        </is>
      </c>
      <c r="B232" s="6" t="inlineStr">
        <is>
          <t>ACC-0037</t>
        </is>
      </c>
      <c r="C232" s="6" t="inlineStr">
        <is>
          <t>Airtime Top-up</t>
        </is>
      </c>
      <c r="D232" s="6" t="n">
        <v>4778</v>
      </c>
      <c r="E232" s="6" t="n">
        <v>14</v>
      </c>
      <c r="F232" s="6" t="n">
        <v>0</v>
      </c>
      <c r="G232" s="6" t="n">
        <v>2</v>
      </c>
      <c r="H232" s="6" t="n">
        <v>0</v>
      </c>
      <c r="I232" s="6" t="n">
        <v>0</v>
      </c>
      <c r="J232" s="6" t="n">
        <v>0</v>
      </c>
      <c r="P232" s="7">
        <f>(D232-VLOOKUP(B232,$L$2:$N$61,2,FALSE))/VLOOKUP(B232,$L$2:$N$61,3,FALSE)</f>
        <v/>
      </c>
      <c r="Q232" s="6">
        <f>IF(P232&gt;2.5,1,0)</f>
        <v/>
      </c>
      <c r="R232" s="6">
        <f>IF(G232&gt;4,1,0)</f>
        <v/>
      </c>
      <c r="S232" s="6">
        <f>IF(AND(F232=1,P232&gt;0.5),1,0)</f>
        <v/>
      </c>
      <c r="T232" s="6">
        <f>IF(AND(OR(E232&gt;=23,E232&lt;=5),P232&gt;0),1,0)</f>
        <v/>
      </c>
      <c r="U232" s="6">
        <f>IF(H232=1,1,0)</f>
        <v/>
      </c>
      <c r="V232" s="6">
        <f>IF(I232&gt;=3,1,0)</f>
        <v/>
      </c>
      <c r="W232" s="6">
        <f>Q232*20+R232*15+S232*30+T232*15+U232*25+V232*20</f>
        <v/>
      </c>
      <c r="X232" s="6">
        <f>IF(W232&gt;=40,"REVIEW","OK")</f>
        <v/>
      </c>
    </row>
    <row r="233">
      <c r="A233" s="6" t="inlineStr">
        <is>
          <t>TXN-00232</t>
        </is>
      </c>
      <c r="B233" s="6" t="inlineStr">
        <is>
          <t>ACC-0031</t>
        </is>
      </c>
      <c r="C233" s="6" t="inlineStr">
        <is>
          <t>Cash Withdrawal (Agent)</t>
        </is>
      </c>
      <c r="D233" s="6" t="n">
        <v>6820</v>
      </c>
      <c r="E233" s="6" t="n">
        <v>11</v>
      </c>
      <c r="F233" s="6" t="n">
        <v>0</v>
      </c>
      <c r="G233" s="6" t="n">
        <v>1</v>
      </c>
      <c r="H233" s="6" t="n">
        <v>0</v>
      </c>
      <c r="I233" s="6" t="n">
        <v>0</v>
      </c>
      <c r="J233" s="6" t="n">
        <v>0</v>
      </c>
      <c r="P233" s="7">
        <f>(D233-VLOOKUP(B233,$L$2:$N$61,2,FALSE))/VLOOKUP(B233,$L$2:$N$61,3,FALSE)</f>
        <v/>
      </c>
      <c r="Q233" s="6">
        <f>IF(P233&gt;2.5,1,0)</f>
        <v/>
      </c>
      <c r="R233" s="6">
        <f>IF(G233&gt;4,1,0)</f>
        <v/>
      </c>
      <c r="S233" s="6">
        <f>IF(AND(F233=1,P233&gt;0.5),1,0)</f>
        <v/>
      </c>
      <c r="T233" s="6">
        <f>IF(AND(OR(E233&gt;=23,E233&lt;=5),P233&gt;0),1,0)</f>
        <v/>
      </c>
      <c r="U233" s="6">
        <f>IF(H233=1,1,0)</f>
        <v/>
      </c>
      <c r="V233" s="6">
        <f>IF(I233&gt;=3,1,0)</f>
        <v/>
      </c>
      <c r="W233" s="6">
        <f>Q233*20+R233*15+S233*30+T233*15+U233*25+V233*20</f>
        <v/>
      </c>
      <c r="X233" s="6">
        <f>IF(W233&gt;=40,"REVIEW","OK")</f>
        <v/>
      </c>
    </row>
    <row r="234">
      <c r="A234" s="6" t="inlineStr">
        <is>
          <t>TXN-00233</t>
        </is>
      </c>
      <c r="B234" s="6" t="inlineStr">
        <is>
          <t>ACC-0038</t>
        </is>
      </c>
      <c r="C234" s="6" t="inlineStr">
        <is>
          <t>Bill Payment</t>
        </is>
      </c>
      <c r="D234" s="6" t="n">
        <v>15960</v>
      </c>
      <c r="E234" s="6" t="n">
        <v>17</v>
      </c>
      <c r="F234" s="6" t="n">
        <v>0</v>
      </c>
      <c r="G234" s="6" t="n">
        <v>1</v>
      </c>
      <c r="H234" s="6" t="n">
        <v>0</v>
      </c>
      <c r="I234" s="6" t="n">
        <v>0</v>
      </c>
      <c r="J234" s="6" t="n">
        <v>0</v>
      </c>
      <c r="P234" s="7">
        <f>(D234-VLOOKUP(B234,$L$2:$N$61,2,FALSE))/VLOOKUP(B234,$L$2:$N$61,3,FALSE)</f>
        <v/>
      </c>
      <c r="Q234" s="6">
        <f>IF(P234&gt;2.5,1,0)</f>
        <v/>
      </c>
      <c r="R234" s="6">
        <f>IF(G234&gt;4,1,0)</f>
        <v/>
      </c>
      <c r="S234" s="6">
        <f>IF(AND(F234=1,P234&gt;0.5),1,0)</f>
        <v/>
      </c>
      <c r="T234" s="6">
        <f>IF(AND(OR(E234&gt;=23,E234&lt;=5),P234&gt;0),1,0)</f>
        <v/>
      </c>
      <c r="U234" s="6">
        <f>IF(H234=1,1,0)</f>
        <v/>
      </c>
      <c r="V234" s="6">
        <f>IF(I234&gt;=3,1,0)</f>
        <v/>
      </c>
      <c r="W234" s="6">
        <f>Q234*20+R234*15+S234*30+T234*15+U234*25+V234*20</f>
        <v/>
      </c>
      <c r="X234" s="6">
        <f>IF(W234&gt;=40,"REVIEW","OK")</f>
        <v/>
      </c>
    </row>
    <row r="235">
      <c r="A235" s="6" t="inlineStr">
        <is>
          <t>TXN-00234</t>
        </is>
      </c>
      <c r="B235" s="6" t="inlineStr">
        <is>
          <t>ACC-0001</t>
        </is>
      </c>
      <c r="C235" s="6" t="inlineStr">
        <is>
          <t>Merchant Payment</t>
        </is>
      </c>
      <c r="D235" s="6" t="n">
        <v>8259</v>
      </c>
      <c r="E235" s="6" t="n">
        <v>11</v>
      </c>
      <c r="F235" s="6" t="n">
        <v>0</v>
      </c>
      <c r="G235" s="6" t="n">
        <v>2</v>
      </c>
      <c r="H235" s="6" t="n">
        <v>0</v>
      </c>
      <c r="I235" s="6" t="n">
        <v>2</v>
      </c>
      <c r="J235" s="6" t="n">
        <v>0</v>
      </c>
      <c r="P235" s="7">
        <f>(D235-VLOOKUP(B235,$L$2:$N$61,2,FALSE))/VLOOKUP(B235,$L$2:$N$61,3,FALSE)</f>
        <v/>
      </c>
      <c r="Q235" s="6">
        <f>IF(P235&gt;2.5,1,0)</f>
        <v/>
      </c>
      <c r="R235" s="6">
        <f>IF(G235&gt;4,1,0)</f>
        <v/>
      </c>
      <c r="S235" s="6">
        <f>IF(AND(F235=1,P235&gt;0.5),1,0)</f>
        <v/>
      </c>
      <c r="T235" s="6">
        <f>IF(AND(OR(E235&gt;=23,E235&lt;=5),P235&gt;0),1,0)</f>
        <v/>
      </c>
      <c r="U235" s="6">
        <f>IF(H235=1,1,0)</f>
        <v/>
      </c>
      <c r="V235" s="6">
        <f>IF(I235&gt;=3,1,0)</f>
        <v/>
      </c>
      <c r="W235" s="6">
        <f>Q235*20+R235*15+S235*30+T235*15+U235*25+V235*20</f>
        <v/>
      </c>
      <c r="X235" s="6">
        <f>IF(W235&gt;=40,"REVIEW","OK")</f>
        <v/>
      </c>
    </row>
    <row r="236">
      <c r="A236" s="6" t="inlineStr">
        <is>
          <t>TXN-00235</t>
        </is>
      </c>
      <c r="B236" s="6" t="inlineStr">
        <is>
          <t>ACC-0023</t>
        </is>
      </c>
      <c r="C236" s="6" t="inlineStr">
        <is>
          <t>P2P Transfer</t>
        </is>
      </c>
      <c r="D236" s="6" t="n">
        <v>2686</v>
      </c>
      <c r="E236" s="6" t="n">
        <v>7</v>
      </c>
      <c r="F236" s="6" t="n">
        <v>0</v>
      </c>
      <c r="G236" s="6" t="n">
        <v>2</v>
      </c>
      <c r="H236" s="6" t="n">
        <v>0</v>
      </c>
      <c r="I236" s="6" t="n">
        <v>0</v>
      </c>
      <c r="J236" s="6" t="n">
        <v>0</v>
      </c>
      <c r="P236" s="7">
        <f>(D236-VLOOKUP(B236,$L$2:$N$61,2,FALSE))/VLOOKUP(B236,$L$2:$N$61,3,FALSE)</f>
        <v/>
      </c>
      <c r="Q236" s="6">
        <f>IF(P236&gt;2.5,1,0)</f>
        <v/>
      </c>
      <c r="R236" s="6">
        <f>IF(G236&gt;4,1,0)</f>
        <v/>
      </c>
      <c r="S236" s="6">
        <f>IF(AND(F236=1,P236&gt;0.5),1,0)</f>
        <v/>
      </c>
      <c r="T236" s="6">
        <f>IF(AND(OR(E236&gt;=23,E236&lt;=5),P236&gt;0),1,0)</f>
        <v/>
      </c>
      <c r="U236" s="6">
        <f>IF(H236=1,1,0)</f>
        <v/>
      </c>
      <c r="V236" s="6">
        <f>IF(I236&gt;=3,1,0)</f>
        <v/>
      </c>
      <c r="W236" s="6">
        <f>Q236*20+R236*15+S236*30+T236*15+U236*25+V236*20</f>
        <v/>
      </c>
      <c r="X236" s="6">
        <f>IF(W236&gt;=40,"REVIEW","OK")</f>
        <v/>
      </c>
    </row>
    <row r="237">
      <c r="A237" s="6" t="inlineStr">
        <is>
          <t>TXN-00236</t>
        </is>
      </c>
      <c r="B237" s="6" t="inlineStr">
        <is>
          <t>ACC-0046</t>
        </is>
      </c>
      <c r="C237" s="6" t="inlineStr">
        <is>
          <t>P2P Transfer</t>
        </is>
      </c>
      <c r="D237" s="6" t="n">
        <v>13352</v>
      </c>
      <c r="E237" s="6" t="n">
        <v>13</v>
      </c>
      <c r="F237" s="6" t="n">
        <v>1</v>
      </c>
      <c r="G237" s="6" t="n">
        <v>5</v>
      </c>
      <c r="H237" s="6" t="n">
        <v>0</v>
      </c>
      <c r="I237" s="6" t="n">
        <v>0</v>
      </c>
      <c r="J237" s="6" t="n">
        <v>0</v>
      </c>
      <c r="P237" s="7">
        <f>(D237-VLOOKUP(B237,$L$2:$N$61,2,FALSE))/VLOOKUP(B237,$L$2:$N$61,3,FALSE)</f>
        <v/>
      </c>
      <c r="Q237" s="6">
        <f>IF(P237&gt;2.5,1,0)</f>
        <v/>
      </c>
      <c r="R237" s="6">
        <f>IF(G237&gt;4,1,0)</f>
        <v/>
      </c>
      <c r="S237" s="6">
        <f>IF(AND(F237=1,P237&gt;0.5),1,0)</f>
        <v/>
      </c>
      <c r="T237" s="6">
        <f>IF(AND(OR(E237&gt;=23,E237&lt;=5),P237&gt;0),1,0)</f>
        <v/>
      </c>
      <c r="U237" s="6">
        <f>IF(H237=1,1,0)</f>
        <v/>
      </c>
      <c r="V237" s="6">
        <f>IF(I237&gt;=3,1,0)</f>
        <v/>
      </c>
      <c r="W237" s="6">
        <f>Q237*20+R237*15+S237*30+T237*15+U237*25+V237*20</f>
        <v/>
      </c>
      <c r="X237" s="6">
        <f>IF(W237&gt;=40,"REVIEW","OK")</f>
        <v/>
      </c>
    </row>
    <row r="238">
      <c r="A238" s="6" t="inlineStr">
        <is>
          <t>TXN-00237</t>
        </is>
      </c>
      <c r="B238" s="6" t="inlineStr">
        <is>
          <t>ACC-0016</t>
        </is>
      </c>
      <c r="C238" s="6" t="inlineStr">
        <is>
          <t>Merchant Payment</t>
        </is>
      </c>
      <c r="D238" s="6" t="n">
        <v>16569</v>
      </c>
      <c r="E238" s="6" t="n">
        <v>2</v>
      </c>
      <c r="F238" s="6" t="n">
        <v>0</v>
      </c>
      <c r="G238" s="6" t="n">
        <v>1</v>
      </c>
      <c r="H238" s="6" t="n">
        <v>0</v>
      </c>
      <c r="I238" s="6" t="n">
        <v>3</v>
      </c>
      <c r="J238" s="6" t="n">
        <v>0</v>
      </c>
      <c r="P238" s="7">
        <f>(D238-VLOOKUP(B238,$L$2:$N$61,2,FALSE))/VLOOKUP(B238,$L$2:$N$61,3,FALSE)</f>
        <v/>
      </c>
      <c r="Q238" s="6">
        <f>IF(P238&gt;2.5,1,0)</f>
        <v/>
      </c>
      <c r="R238" s="6">
        <f>IF(G238&gt;4,1,0)</f>
        <v/>
      </c>
      <c r="S238" s="6">
        <f>IF(AND(F238=1,P238&gt;0.5),1,0)</f>
        <v/>
      </c>
      <c r="T238" s="6">
        <f>IF(AND(OR(E238&gt;=23,E238&lt;=5),P238&gt;0),1,0)</f>
        <v/>
      </c>
      <c r="U238" s="6">
        <f>IF(H238=1,1,0)</f>
        <v/>
      </c>
      <c r="V238" s="6">
        <f>IF(I238&gt;=3,1,0)</f>
        <v/>
      </c>
      <c r="W238" s="6">
        <f>Q238*20+R238*15+S238*30+T238*15+U238*25+V238*20</f>
        <v/>
      </c>
      <c r="X238" s="6">
        <f>IF(W238&gt;=40,"REVIEW","OK")</f>
        <v/>
      </c>
    </row>
    <row r="239">
      <c r="A239" s="6" t="inlineStr">
        <is>
          <t>TXN-00238</t>
        </is>
      </c>
      <c r="B239" s="6" t="inlineStr">
        <is>
          <t>ACC-0020</t>
        </is>
      </c>
      <c r="C239" s="6" t="inlineStr">
        <is>
          <t>Bill Payment</t>
        </is>
      </c>
      <c r="D239" s="6" t="n">
        <v>5900</v>
      </c>
      <c r="E239" s="6" t="n">
        <v>16</v>
      </c>
      <c r="F239" s="6" t="n">
        <v>0</v>
      </c>
      <c r="G239" s="6" t="n">
        <v>2</v>
      </c>
      <c r="H239" s="6" t="n">
        <v>0</v>
      </c>
      <c r="I239" s="6" t="n">
        <v>0</v>
      </c>
      <c r="J239" s="6" t="n">
        <v>0</v>
      </c>
      <c r="P239" s="7">
        <f>(D239-VLOOKUP(B239,$L$2:$N$61,2,FALSE))/VLOOKUP(B239,$L$2:$N$61,3,FALSE)</f>
        <v/>
      </c>
      <c r="Q239" s="6">
        <f>IF(P239&gt;2.5,1,0)</f>
        <v/>
      </c>
      <c r="R239" s="6">
        <f>IF(G239&gt;4,1,0)</f>
        <v/>
      </c>
      <c r="S239" s="6">
        <f>IF(AND(F239=1,P239&gt;0.5),1,0)</f>
        <v/>
      </c>
      <c r="T239" s="6">
        <f>IF(AND(OR(E239&gt;=23,E239&lt;=5),P239&gt;0),1,0)</f>
        <v/>
      </c>
      <c r="U239" s="6">
        <f>IF(H239=1,1,0)</f>
        <v/>
      </c>
      <c r="V239" s="6">
        <f>IF(I239&gt;=3,1,0)</f>
        <v/>
      </c>
      <c r="W239" s="6">
        <f>Q239*20+R239*15+S239*30+T239*15+U239*25+V239*20</f>
        <v/>
      </c>
      <c r="X239" s="6">
        <f>IF(W239&gt;=40,"REVIEW","OK")</f>
        <v/>
      </c>
    </row>
    <row r="240">
      <c r="A240" s="6" t="inlineStr">
        <is>
          <t>TXN-00239</t>
        </is>
      </c>
      <c r="B240" s="6" t="inlineStr">
        <is>
          <t>ACC-0049</t>
        </is>
      </c>
      <c r="C240" s="6" t="inlineStr">
        <is>
          <t>P2P Transfer</t>
        </is>
      </c>
      <c r="D240" s="6" t="n">
        <v>2999</v>
      </c>
      <c r="E240" s="6" t="n">
        <v>8</v>
      </c>
      <c r="F240" s="6" t="n">
        <v>1</v>
      </c>
      <c r="G240" s="6" t="n">
        <v>1</v>
      </c>
      <c r="H240" s="6" t="n">
        <v>1</v>
      </c>
      <c r="I240" s="6" t="n">
        <v>0</v>
      </c>
      <c r="J240" s="6" t="n">
        <v>0</v>
      </c>
      <c r="P240" s="7">
        <f>(D240-VLOOKUP(B240,$L$2:$N$61,2,FALSE))/VLOOKUP(B240,$L$2:$N$61,3,FALSE)</f>
        <v/>
      </c>
      <c r="Q240" s="6">
        <f>IF(P240&gt;2.5,1,0)</f>
        <v/>
      </c>
      <c r="R240" s="6">
        <f>IF(G240&gt;4,1,0)</f>
        <v/>
      </c>
      <c r="S240" s="6">
        <f>IF(AND(F240=1,P240&gt;0.5),1,0)</f>
        <v/>
      </c>
      <c r="T240" s="6">
        <f>IF(AND(OR(E240&gt;=23,E240&lt;=5),P240&gt;0),1,0)</f>
        <v/>
      </c>
      <c r="U240" s="6">
        <f>IF(H240=1,1,0)</f>
        <v/>
      </c>
      <c r="V240" s="6">
        <f>IF(I240&gt;=3,1,0)</f>
        <v/>
      </c>
      <c r="W240" s="6">
        <f>Q240*20+R240*15+S240*30+T240*15+U240*25+V240*20</f>
        <v/>
      </c>
      <c r="X240" s="6">
        <f>IF(W240&gt;=40,"REVIEW","OK")</f>
        <v/>
      </c>
    </row>
    <row r="241">
      <c r="A241" s="6" t="inlineStr">
        <is>
          <t>TXN-00240</t>
        </is>
      </c>
      <c r="B241" s="6" t="inlineStr">
        <is>
          <t>ACC-0055</t>
        </is>
      </c>
      <c r="C241" s="6" t="inlineStr">
        <is>
          <t>Airtime Top-up</t>
        </is>
      </c>
      <c r="D241" s="6" t="n">
        <v>13565</v>
      </c>
      <c r="E241" s="6" t="n">
        <v>4</v>
      </c>
      <c r="F241" s="6" t="n">
        <v>0</v>
      </c>
      <c r="G241" s="6" t="n">
        <v>1</v>
      </c>
      <c r="H241" s="6" t="n">
        <v>0</v>
      </c>
      <c r="I241" s="6" t="n">
        <v>0</v>
      </c>
      <c r="J241" s="6" t="n">
        <v>0</v>
      </c>
      <c r="P241" s="7">
        <f>(D241-VLOOKUP(B241,$L$2:$N$61,2,FALSE))/VLOOKUP(B241,$L$2:$N$61,3,FALSE)</f>
        <v/>
      </c>
      <c r="Q241" s="6">
        <f>IF(P241&gt;2.5,1,0)</f>
        <v/>
      </c>
      <c r="R241" s="6">
        <f>IF(G241&gt;4,1,0)</f>
        <v/>
      </c>
      <c r="S241" s="6">
        <f>IF(AND(F241=1,P241&gt;0.5),1,0)</f>
        <v/>
      </c>
      <c r="T241" s="6">
        <f>IF(AND(OR(E241&gt;=23,E241&lt;=5),P241&gt;0),1,0)</f>
        <v/>
      </c>
      <c r="U241" s="6">
        <f>IF(H241=1,1,0)</f>
        <v/>
      </c>
      <c r="V241" s="6">
        <f>IF(I241&gt;=3,1,0)</f>
        <v/>
      </c>
      <c r="W241" s="6">
        <f>Q241*20+R241*15+S241*30+T241*15+U241*25+V241*20</f>
        <v/>
      </c>
      <c r="X241" s="6">
        <f>IF(W241&gt;=40,"REVIEW","OK")</f>
        <v/>
      </c>
    </row>
    <row r="242">
      <c r="A242" s="6" t="inlineStr">
        <is>
          <t>TXN-00241</t>
        </is>
      </c>
      <c r="B242" s="6" t="inlineStr">
        <is>
          <t>ACC-0038</t>
        </is>
      </c>
      <c r="C242" s="6" t="inlineStr">
        <is>
          <t>Bill Payment</t>
        </is>
      </c>
      <c r="D242" s="6" t="n">
        <v>13026</v>
      </c>
      <c r="E242" s="6" t="n">
        <v>1</v>
      </c>
      <c r="F242" s="6" t="n">
        <v>0</v>
      </c>
      <c r="G242" s="6" t="n">
        <v>2</v>
      </c>
      <c r="H242" s="6" t="n">
        <v>0</v>
      </c>
      <c r="I242" s="6" t="n">
        <v>0</v>
      </c>
      <c r="J242" s="6" t="n">
        <v>0</v>
      </c>
      <c r="P242" s="7">
        <f>(D242-VLOOKUP(B242,$L$2:$N$61,2,FALSE))/VLOOKUP(B242,$L$2:$N$61,3,FALSE)</f>
        <v/>
      </c>
      <c r="Q242" s="6">
        <f>IF(P242&gt;2.5,1,0)</f>
        <v/>
      </c>
      <c r="R242" s="6">
        <f>IF(G242&gt;4,1,0)</f>
        <v/>
      </c>
      <c r="S242" s="6">
        <f>IF(AND(F242=1,P242&gt;0.5),1,0)</f>
        <v/>
      </c>
      <c r="T242" s="6">
        <f>IF(AND(OR(E242&gt;=23,E242&lt;=5),P242&gt;0),1,0)</f>
        <v/>
      </c>
      <c r="U242" s="6">
        <f>IF(H242=1,1,0)</f>
        <v/>
      </c>
      <c r="V242" s="6">
        <f>IF(I242&gt;=3,1,0)</f>
        <v/>
      </c>
      <c r="W242" s="6">
        <f>Q242*20+R242*15+S242*30+T242*15+U242*25+V242*20</f>
        <v/>
      </c>
      <c r="X242" s="6">
        <f>IF(W242&gt;=40,"REVIEW","OK")</f>
        <v/>
      </c>
    </row>
    <row r="243">
      <c r="A243" s="6" t="inlineStr">
        <is>
          <t>TXN-00242</t>
        </is>
      </c>
      <c r="B243" s="6" t="inlineStr">
        <is>
          <t>ACC-0035</t>
        </is>
      </c>
      <c r="C243" s="6" t="inlineStr">
        <is>
          <t>Cash Withdrawal (Agent)</t>
        </is>
      </c>
      <c r="D243" s="6" t="n">
        <v>3660</v>
      </c>
      <c r="E243" s="6" t="n">
        <v>22</v>
      </c>
      <c r="F243" s="6" t="n">
        <v>0</v>
      </c>
      <c r="G243" s="6" t="n">
        <v>3</v>
      </c>
      <c r="H243" s="6" t="n">
        <v>0</v>
      </c>
      <c r="I243" s="6" t="n">
        <v>1</v>
      </c>
      <c r="J243" s="6" t="n">
        <v>0</v>
      </c>
      <c r="P243" s="7">
        <f>(D243-VLOOKUP(B243,$L$2:$N$61,2,FALSE))/VLOOKUP(B243,$L$2:$N$61,3,FALSE)</f>
        <v/>
      </c>
      <c r="Q243" s="6">
        <f>IF(P243&gt;2.5,1,0)</f>
        <v/>
      </c>
      <c r="R243" s="6">
        <f>IF(G243&gt;4,1,0)</f>
        <v/>
      </c>
      <c r="S243" s="6">
        <f>IF(AND(F243=1,P243&gt;0.5),1,0)</f>
        <v/>
      </c>
      <c r="T243" s="6">
        <f>IF(AND(OR(E243&gt;=23,E243&lt;=5),P243&gt;0),1,0)</f>
        <v/>
      </c>
      <c r="U243" s="6">
        <f>IF(H243=1,1,0)</f>
        <v/>
      </c>
      <c r="V243" s="6">
        <f>IF(I243&gt;=3,1,0)</f>
        <v/>
      </c>
      <c r="W243" s="6">
        <f>Q243*20+R243*15+S243*30+T243*15+U243*25+V243*20</f>
        <v/>
      </c>
      <c r="X243" s="6">
        <f>IF(W243&gt;=40,"REVIEW","OK")</f>
        <v/>
      </c>
    </row>
    <row r="244">
      <c r="A244" s="6" t="inlineStr">
        <is>
          <t>TXN-00243</t>
        </is>
      </c>
      <c r="B244" s="6" t="inlineStr">
        <is>
          <t>ACC-0019</t>
        </is>
      </c>
      <c r="C244" s="6" t="inlineStr">
        <is>
          <t>P2P Transfer</t>
        </is>
      </c>
      <c r="D244" s="6" t="n">
        <v>9724</v>
      </c>
      <c r="E244" s="6" t="n">
        <v>3</v>
      </c>
      <c r="F244" s="6" t="n">
        <v>0</v>
      </c>
      <c r="G244" s="6" t="n">
        <v>1</v>
      </c>
      <c r="H244" s="6" t="n">
        <v>0</v>
      </c>
      <c r="I244" s="6" t="n">
        <v>4</v>
      </c>
      <c r="J244" s="6" t="n">
        <v>0</v>
      </c>
      <c r="P244" s="7">
        <f>(D244-VLOOKUP(B244,$L$2:$N$61,2,FALSE))/VLOOKUP(B244,$L$2:$N$61,3,FALSE)</f>
        <v/>
      </c>
      <c r="Q244" s="6">
        <f>IF(P244&gt;2.5,1,0)</f>
        <v/>
      </c>
      <c r="R244" s="6">
        <f>IF(G244&gt;4,1,0)</f>
        <v/>
      </c>
      <c r="S244" s="6">
        <f>IF(AND(F244=1,P244&gt;0.5),1,0)</f>
        <v/>
      </c>
      <c r="T244" s="6">
        <f>IF(AND(OR(E244&gt;=23,E244&lt;=5),P244&gt;0),1,0)</f>
        <v/>
      </c>
      <c r="U244" s="6">
        <f>IF(H244=1,1,0)</f>
        <v/>
      </c>
      <c r="V244" s="6">
        <f>IF(I244&gt;=3,1,0)</f>
        <v/>
      </c>
      <c r="W244" s="6">
        <f>Q244*20+R244*15+S244*30+T244*15+U244*25+V244*20</f>
        <v/>
      </c>
      <c r="X244" s="6">
        <f>IF(W244&gt;=40,"REVIEW","OK")</f>
        <v/>
      </c>
    </row>
    <row r="245">
      <c r="A245" s="6" t="inlineStr">
        <is>
          <t>TXN-00244</t>
        </is>
      </c>
      <c r="B245" s="6" t="inlineStr">
        <is>
          <t>ACC-0007</t>
        </is>
      </c>
      <c r="C245" s="6" t="inlineStr">
        <is>
          <t>Merchant Payment</t>
        </is>
      </c>
      <c r="D245" s="6" t="n">
        <v>4564</v>
      </c>
      <c r="E245" s="6" t="n">
        <v>9</v>
      </c>
      <c r="F245" s="6" t="n">
        <v>0</v>
      </c>
      <c r="G245" s="6" t="n">
        <v>6</v>
      </c>
      <c r="H245" s="6" t="n">
        <v>0</v>
      </c>
      <c r="I245" s="6" t="n">
        <v>1</v>
      </c>
      <c r="J245" s="6" t="n">
        <v>0</v>
      </c>
      <c r="P245" s="7">
        <f>(D245-VLOOKUP(B245,$L$2:$N$61,2,FALSE))/VLOOKUP(B245,$L$2:$N$61,3,FALSE)</f>
        <v/>
      </c>
      <c r="Q245" s="6">
        <f>IF(P245&gt;2.5,1,0)</f>
        <v/>
      </c>
      <c r="R245" s="6">
        <f>IF(G245&gt;4,1,0)</f>
        <v/>
      </c>
      <c r="S245" s="6">
        <f>IF(AND(F245=1,P245&gt;0.5),1,0)</f>
        <v/>
      </c>
      <c r="T245" s="6">
        <f>IF(AND(OR(E245&gt;=23,E245&lt;=5),P245&gt;0),1,0)</f>
        <v/>
      </c>
      <c r="U245" s="6">
        <f>IF(H245=1,1,0)</f>
        <v/>
      </c>
      <c r="V245" s="6">
        <f>IF(I245&gt;=3,1,0)</f>
        <v/>
      </c>
      <c r="W245" s="6">
        <f>Q245*20+R245*15+S245*30+T245*15+U245*25+V245*20</f>
        <v/>
      </c>
      <c r="X245" s="6">
        <f>IF(W245&gt;=40,"REVIEW","OK")</f>
        <v/>
      </c>
    </row>
    <row r="246">
      <c r="A246" s="6" t="inlineStr">
        <is>
          <t>TXN-00245</t>
        </is>
      </c>
      <c r="B246" s="6" t="inlineStr">
        <is>
          <t>ACC-0006</t>
        </is>
      </c>
      <c r="C246" s="6" t="inlineStr">
        <is>
          <t>Merchant Payment</t>
        </is>
      </c>
      <c r="D246" s="6" t="n">
        <v>19158</v>
      </c>
      <c r="E246" s="6" t="n">
        <v>10</v>
      </c>
      <c r="F246" s="6" t="n">
        <v>0</v>
      </c>
      <c r="G246" s="6" t="n">
        <v>3</v>
      </c>
      <c r="H246" s="6" t="n">
        <v>0</v>
      </c>
      <c r="I246" s="6" t="n">
        <v>0</v>
      </c>
      <c r="J246" s="6" t="n">
        <v>0</v>
      </c>
      <c r="P246" s="7">
        <f>(D246-VLOOKUP(B246,$L$2:$N$61,2,FALSE))/VLOOKUP(B246,$L$2:$N$61,3,FALSE)</f>
        <v/>
      </c>
      <c r="Q246" s="6">
        <f>IF(P246&gt;2.5,1,0)</f>
        <v/>
      </c>
      <c r="R246" s="6">
        <f>IF(G246&gt;4,1,0)</f>
        <v/>
      </c>
      <c r="S246" s="6">
        <f>IF(AND(F246=1,P246&gt;0.5),1,0)</f>
        <v/>
      </c>
      <c r="T246" s="6">
        <f>IF(AND(OR(E246&gt;=23,E246&lt;=5),P246&gt;0),1,0)</f>
        <v/>
      </c>
      <c r="U246" s="6">
        <f>IF(H246=1,1,0)</f>
        <v/>
      </c>
      <c r="V246" s="6">
        <f>IF(I246&gt;=3,1,0)</f>
        <v/>
      </c>
      <c r="W246" s="6">
        <f>Q246*20+R246*15+S246*30+T246*15+U246*25+V246*20</f>
        <v/>
      </c>
      <c r="X246" s="6">
        <f>IF(W246&gt;=40,"REVIEW","OK")</f>
        <v/>
      </c>
    </row>
    <row r="247">
      <c r="A247" s="6" t="inlineStr">
        <is>
          <t>TXN-00246</t>
        </is>
      </c>
      <c r="B247" s="6" t="inlineStr">
        <is>
          <t>ACC-0023</t>
        </is>
      </c>
      <c r="C247" s="6" t="inlineStr">
        <is>
          <t>P2P Transfer</t>
        </is>
      </c>
      <c r="D247" s="6" t="n">
        <v>1146</v>
      </c>
      <c r="E247" s="6" t="n">
        <v>0</v>
      </c>
      <c r="F247" s="6" t="n">
        <v>0</v>
      </c>
      <c r="G247" s="6" t="n">
        <v>6</v>
      </c>
      <c r="H247" s="6" t="n">
        <v>1</v>
      </c>
      <c r="I247" s="6" t="n">
        <v>0</v>
      </c>
      <c r="J247" s="6" t="n">
        <v>0</v>
      </c>
      <c r="P247" s="7">
        <f>(D247-VLOOKUP(B247,$L$2:$N$61,2,FALSE))/VLOOKUP(B247,$L$2:$N$61,3,FALSE)</f>
        <v/>
      </c>
      <c r="Q247" s="6">
        <f>IF(P247&gt;2.5,1,0)</f>
        <v/>
      </c>
      <c r="R247" s="6">
        <f>IF(G247&gt;4,1,0)</f>
        <v/>
      </c>
      <c r="S247" s="6">
        <f>IF(AND(F247=1,P247&gt;0.5),1,0)</f>
        <v/>
      </c>
      <c r="T247" s="6">
        <f>IF(AND(OR(E247&gt;=23,E247&lt;=5),P247&gt;0),1,0)</f>
        <v/>
      </c>
      <c r="U247" s="6">
        <f>IF(H247=1,1,0)</f>
        <v/>
      </c>
      <c r="V247" s="6">
        <f>IF(I247&gt;=3,1,0)</f>
        <v/>
      </c>
      <c r="W247" s="6">
        <f>Q247*20+R247*15+S247*30+T247*15+U247*25+V247*20</f>
        <v/>
      </c>
      <c r="X247" s="6">
        <f>IF(W247&gt;=40,"REVIEW","OK")</f>
        <v/>
      </c>
    </row>
    <row r="248">
      <c r="A248" s="6" t="inlineStr">
        <is>
          <t>TXN-00247</t>
        </is>
      </c>
      <c r="B248" s="6" t="inlineStr">
        <is>
          <t>ACC-0007</t>
        </is>
      </c>
      <c r="C248" s="6" t="inlineStr">
        <is>
          <t>P2P Transfer</t>
        </is>
      </c>
      <c r="D248" s="6" t="n">
        <v>11740</v>
      </c>
      <c r="E248" s="6" t="n">
        <v>22</v>
      </c>
      <c r="F248" s="6" t="n">
        <v>1</v>
      </c>
      <c r="G248" s="6" t="n">
        <v>1</v>
      </c>
      <c r="H248" s="6" t="n">
        <v>0</v>
      </c>
      <c r="I248" s="6" t="n">
        <v>0</v>
      </c>
      <c r="J248" s="6" t="n">
        <v>0</v>
      </c>
      <c r="P248" s="7">
        <f>(D248-VLOOKUP(B248,$L$2:$N$61,2,FALSE))/VLOOKUP(B248,$L$2:$N$61,3,FALSE)</f>
        <v/>
      </c>
      <c r="Q248" s="6">
        <f>IF(P248&gt;2.5,1,0)</f>
        <v/>
      </c>
      <c r="R248" s="6">
        <f>IF(G248&gt;4,1,0)</f>
        <v/>
      </c>
      <c r="S248" s="6">
        <f>IF(AND(F248=1,P248&gt;0.5),1,0)</f>
        <v/>
      </c>
      <c r="T248" s="6">
        <f>IF(AND(OR(E248&gt;=23,E248&lt;=5),P248&gt;0),1,0)</f>
        <v/>
      </c>
      <c r="U248" s="6">
        <f>IF(H248=1,1,0)</f>
        <v/>
      </c>
      <c r="V248" s="6">
        <f>IF(I248&gt;=3,1,0)</f>
        <v/>
      </c>
      <c r="W248" s="6">
        <f>Q248*20+R248*15+S248*30+T248*15+U248*25+V248*20</f>
        <v/>
      </c>
      <c r="X248" s="6">
        <f>IF(W248&gt;=40,"REVIEW","OK")</f>
        <v/>
      </c>
    </row>
    <row r="249">
      <c r="A249" s="6" t="inlineStr">
        <is>
          <t>TXN-00248</t>
        </is>
      </c>
      <c r="B249" s="6" t="inlineStr">
        <is>
          <t>ACC-0040</t>
        </is>
      </c>
      <c r="C249" s="6" t="inlineStr">
        <is>
          <t>P2P Transfer</t>
        </is>
      </c>
      <c r="D249" s="6" t="n">
        <v>1194</v>
      </c>
      <c r="E249" s="6" t="n">
        <v>14</v>
      </c>
      <c r="F249" s="6" t="n">
        <v>0</v>
      </c>
      <c r="G249" s="6" t="n">
        <v>1</v>
      </c>
      <c r="H249" s="6" t="n">
        <v>0</v>
      </c>
      <c r="I249" s="6" t="n">
        <v>0</v>
      </c>
      <c r="J249" s="6" t="n">
        <v>0</v>
      </c>
      <c r="P249" s="7">
        <f>(D249-VLOOKUP(B249,$L$2:$N$61,2,FALSE))/VLOOKUP(B249,$L$2:$N$61,3,FALSE)</f>
        <v/>
      </c>
      <c r="Q249" s="6">
        <f>IF(P249&gt;2.5,1,0)</f>
        <v/>
      </c>
      <c r="R249" s="6">
        <f>IF(G249&gt;4,1,0)</f>
        <v/>
      </c>
      <c r="S249" s="6">
        <f>IF(AND(F249=1,P249&gt;0.5),1,0)</f>
        <v/>
      </c>
      <c r="T249" s="6">
        <f>IF(AND(OR(E249&gt;=23,E249&lt;=5),P249&gt;0),1,0)</f>
        <v/>
      </c>
      <c r="U249" s="6">
        <f>IF(H249=1,1,0)</f>
        <v/>
      </c>
      <c r="V249" s="6">
        <f>IF(I249&gt;=3,1,0)</f>
        <v/>
      </c>
      <c r="W249" s="6">
        <f>Q249*20+R249*15+S249*30+T249*15+U249*25+V249*20</f>
        <v/>
      </c>
      <c r="X249" s="6">
        <f>IF(W249&gt;=40,"REVIEW","OK")</f>
        <v/>
      </c>
    </row>
    <row r="250">
      <c r="A250" s="6" t="inlineStr">
        <is>
          <t>TXN-00249</t>
        </is>
      </c>
      <c r="B250" s="6" t="inlineStr">
        <is>
          <t>ACC-0014</t>
        </is>
      </c>
      <c r="C250" s="6" t="inlineStr">
        <is>
          <t>Cash Withdrawal (Agent)</t>
        </is>
      </c>
      <c r="D250" s="6" t="n">
        <v>11018</v>
      </c>
      <c r="E250" s="6" t="n">
        <v>17</v>
      </c>
      <c r="F250" s="6" t="n">
        <v>1</v>
      </c>
      <c r="G250" s="6" t="n">
        <v>1</v>
      </c>
      <c r="H250" s="6" t="n">
        <v>0</v>
      </c>
      <c r="I250" s="6" t="n">
        <v>0</v>
      </c>
      <c r="J250" s="6" t="n">
        <v>0</v>
      </c>
      <c r="P250" s="7">
        <f>(D250-VLOOKUP(B250,$L$2:$N$61,2,FALSE))/VLOOKUP(B250,$L$2:$N$61,3,FALSE)</f>
        <v/>
      </c>
      <c r="Q250" s="6">
        <f>IF(P250&gt;2.5,1,0)</f>
        <v/>
      </c>
      <c r="R250" s="6">
        <f>IF(G250&gt;4,1,0)</f>
        <v/>
      </c>
      <c r="S250" s="6">
        <f>IF(AND(F250=1,P250&gt;0.5),1,0)</f>
        <v/>
      </c>
      <c r="T250" s="6">
        <f>IF(AND(OR(E250&gt;=23,E250&lt;=5),P250&gt;0),1,0)</f>
        <v/>
      </c>
      <c r="U250" s="6">
        <f>IF(H250=1,1,0)</f>
        <v/>
      </c>
      <c r="V250" s="6">
        <f>IF(I250&gt;=3,1,0)</f>
        <v/>
      </c>
      <c r="W250" s="6">
        <f>Q250*20+R250*15+S250*30+T250*15+U250*25+V250*20</f>
        <v/>
      </c>
      <c r="X250" s="6">
        <f>IF(W250&gt;=40,"REVIEW","OK")</f>
        <v/>
      </c>
    </row>
    <row r="251">
      <c r="A251" s="6" t="inlineStr">
        <is>
          <t>TXN-00250</t>
        </is>
      </c>
      <c r="B251" s="6" t="inlineStr">
        <is>
          <t>ACC-0046</t>
        </is>
      </c>
      <c r="C251" s="6" t="inlineStr">
        <is>
          <t>Merchant Payment</t>
        </is>
      </c>
      <c r="D251" s="6" t="n">
        <v>12601</v>
      </c>
      <c r="E251" s="6" t="n">
        <v>18</v>
      </c>
      <c r="F251" s="6" t="n">
        <v>0</v>
      </c>
      <c r="G251" s="6" t="n">
        <v>1</v>
      </c>
      <c r="H251" s="6" t="n">
        <v>0</v>
      </c>
      <c r="I251" s="6" t="n">
        <v>0</v>
      </c>
      <c r="J251" s="6" t="n">
        <v>0</v>
      </c>
      <c r="P251" s="7">
        <f>(D251-VLOOKUP(B251,$L$2:$N$61,2,FALSE))/VLOOKUP(B251,$L$2:$N$61,3,FALSE)</f>
        <v/>
      </c>
      <c r="Q251" s="6">
        <f>IF(P251&gt;2.5,1,0)</f>
        <v/>
      </c>
      <c r="R251" s="6">
        <f>IF(G251&gt;4,1,0)</f>
        <v/>
      </c>
      <c r="S251" s="6">
        <f>IF(AND(F251=1,P251&gt;0.5),1,0)</f>
        <v/>
      </c>
      <c r="T251" s="6">
        <f>IF(AND(OR(E251&gt;=23,E251&lt;=5),P251&gt;0),1,0)</f>
        <v/>
      </c>
      <c r="U251" s="6">
        <f>IF(H251=1,1,0)</f>
        <v/>
      </c>
      <c r="V251" s="6">
        <f>IF(I251&gt;=3,1,0)</f>
        <v/>
      </c>
      <c r="W251" s="6">
        <f>Q251*20+R251*15+S251*30+T251*15+U251*25+V251*20</f>
        <v/>
      </c>
      <c r="X251" s="6">
        <f>IF(W251&gt;=40,"REVIEW","OK")</f>
        <v/>
      </c>
    </row>
    <row r="252">
      <c r="A252" s="6" t="inlineStr">
        <is>
          <t>TXN-00251</t>
        </is>
      </c>
      <c r="B252" s="6" t="inlineStr">
        <is>
          <t>ACC-0047</t>
        </is>
      </c>
      <c r="C252" s="6" t="inlineStr">
        <is>
          <t>Merchant Payment</t>
        </is>
      </c>
      <c r="D252" s="6" t="n">
        <v>14882</v>
      </c>
      <c r="E252" s="6" t="n">
        <v>19</v>
      </c>
      <c r="F252" s="6" t="n">
        <v>1</v>
      </c>
      <c r="G252" s="6" t="n">
        <v>2</v>
      </c>
      <c r="H252" s="6" t="n">
        <v>0</v>
      </c>
      <c r="I252" s="6" t="n">
        <v>3</v>
      </c>
      <c r="J252" s="6" t="n">
        <v>0</v>
      </c>
      <c r="P252" s="7">
        <f>(D252-VLOOKUP(B252,$L$2:$N$61,2,FALSE))/VLOOKUP(B252,$L$2:$N$61,3,FALSE)</f>
        <v/>
      </c>
      <c r="Q252" s="6">
        <f>IF(P252&gt;2.5,1,0)</f>
        <v/>
      </c>
      <c r="R252" s="6">
        <f>IF(G252&gt;4,1,0)</f>
        <v/>
      </c>
      <c r="S252" s="6">
        <f>IF(AND(F252=1,P252&gt;0.5),1,0)</f>
        <v/>
      </c>
      <c r="T252" s="6">
        <f>IF(AND(OR(E252&gt;=23,E252&lt;=5),P252&gt;0),1,0)</f>
        <v/>
      </c>
      <c r="U252" s="6">
        <f>IF(H252=1,1,0)</f>
        <v/>
      </c>
      <c r="V252" s="6">
        <f>IF(I252&gt;=3,1,0)</f>
        <v/>
      </c>
      <c r="W252" s="6">
        <f>Q252*20+R252*15+S252*30+T252*15+U252*25+V252*20</f>
        <v/>
      </c>
      <c r="X252" s="6">
        <f>IF(W252&gt;=40,"REVIEW","OK")</f>
        <v/>
      </c>
    </row>
    <row r="253">
      <c r="A253" s="6" t="inlineStr">
        <is>
          <t>TXN-00252</t>
        </is>
      </c>
      <c r="B253" s="6" t="inlineStr">
        <is>
          <t>ACC-0031</t>
        </is>
      </c>
      <c r="C253" s="6" t="inlineStr">
        <is>
          <t>Merchant Payment</t>
        </is>
      </c>
      <c r="D253" s="6" t="n">
        <v>8644</v>
      </c>
      <c r="E253" s="6" t="n">
        <v>17</v>
      </c>
      <c r="F253" s="6" t="n">
        <v>0</v>
      </c>
      <c r="G253" s="6" t="n">
        <v>1</v>
      </c>
      <c r="H253" s="6" t="n">
        <v>0</v>
      </c>
      <c r="I253" s="6" t="n">
        <v>0</v>
      </c>
      <c r="J253" s="6" t="n">
        <v>0</v>
      </c>
      <c r="P253" s="7">
        <f>(D253-VLOOKUP(B253,$L$2:$N$61,2,FALSE))/VLOOKUP(B253,$L$2:$N$61,3,FALSE)</f>
        <v/>
      </c>
      <c r="Q253" s="6">
        <f>IF(P253&gt;2.5,1,0)</f>
        <v/>
      </c>
      <c r="R253" s="6">
        <f>IF(G253&gt;4,1,0)</f>
        <v/>
      </c>
      <c r="S253" s="6">
        <f>IF(AND(F253=1,P253&gt;0.5),1,0)</f>
        <v/>
      </c>
      <c r="T253" s="6">
        <f>IF(AND(OR(E253&gt;=23,E253&lt;=5),P253&gt;0),1,0)</f>
        <v/>
      </c>
      <c r="U253" s="6">
        <f>IF(H253=1,1,0)</f>
        <v/>
      </c>
      <c r="V253" s="6">
        <f>IF(I253&gt;=3,1,0)</f>
        <v/>
      </c>
      <c r="W253" s="6">
        <f>Q253*20+R253*15+S253*30+T253*15+U253*25+V253*20</f>
        <v/>
      </c>
      <c r="X253" s="6">
        <f>IF(W253&gt;=40,"REVIEW","OK")</f>
        <v/>
      </c>
    </row>
    <row r="254">
      <c r="A254" s="6" t="inlineStr">
        <is>
          <t>TXN-00253</t>
        </is>
      </c>
      <c r="B254" s="6" t="inlineStr">
        <is>
          <t>ACC-0019</t>
        </is>
      </c>
      <c r="C254" s="6" t="inlineStr">
        <is>
          <t>Merchant Payment</t>
        </is>
      </c>
      <c r="D254" s="6" t="n">
        <v>15586</v>
      </c>
      <c r="E254" s="6" t="n">
        <v>9</v>
      </c>
      <c r="F254" s="6" t="n">
        <v>1</v>
      </c>
      <c r="G254" s="6" t="n">
        <v>2</v>
      </c>
      <c r="H254" s="6" t="n">
        <v>0</v>
      </c>
      <c r="I254" s="6" t="n">
        <v>0</v>
      </c>
      <c r="J254" s="6" t="n">
        <v>0</v>
      </c>
      <c r="P254" s="7">
        <f>(D254-VLOOKUP(B254,$L$2:$N$61,2,FALSE))/VLOOKUP(B254,$L$2:$N$61,3,FALSE)</f>
        <v/>
      </c>
      <c r="Q254" s="6">
        <f>IF(P254&gt;2.5,1,0)</f>
        <v/>
      </c>
      <c r="R254" s="6">
        <f>IF(G254&gt;4,1,0)</f>
        <v/>
      </c>
      <c r="S254" s="6">
        <f>IF(AND(F254=1,P254&gt;0.5),1,0)</f>
        <v/>
      </c>
      <c r="T254" s="6">
        <f>IF(AND(OR(E254&gt;=23,E254&lt;=5),P254&gt;0),1,0)</f>
        <v/>
      </c>
      <c r="U254" s="6">
        <f>IF(H254=1,1,0)</f>
        <v/>
      </c>
      <c r="V254" s="6">
        <f>IF(I254&gt;=3,1,0)</f>
        <v/>
      </c>
      <c r="W254" s="6">
        <f>Q254*20+R254*15+S254*30+T254*15+U254*25+V254*20</f>
        <v/>
      </c>
      <c r="X254" s="6">
        <f>IF(W254&gt;=40,"REVIEW","OK")</f>
        <v/>
      </c>
    </row>
    <row r="255">
      <c r="A255" s="6" t="inlineStr">
        <is>
          <t>TXN-00254</t>
        </is>
      </c>
      <c r="B255" s="6" t="inlineStr">
        <is>
          <t>ACC-0016</t>
        </is>
      </c>
      <c r="C255" s="6" t="inlineStr">
        <is>
          <t>Merchant Payment</t>
        </is>
      </c>
      <c r="D255" s="6" t="n">
        <v>13897</v>
      </c>
      <c r="E255" s="6" t="n">
        <v>5</v>
      </c>
      <c r="F255" s="6" t="n">
        <v>0</v>
      </c>
      <c r="G255" s="6" t="n">
        <v>1</v>
      </c>
      <c r="H255" s="6" t="n">
        <v>0</v>
      </c>
      <c r="I255" s="6" t="n">
        <v>2</v>
      </c>
      <c r="J255" s="6" t="n">
        <v>0</v>
      </c>
      <c r="P255" s="7">
        <f>(D255-VLOOKUP(B255,$L$2:$N$61,2,FALSE))/VLOOKUP(B255,$L$2:$N$61,3,FALSE)</f>
        <v/>
      </c>
      <c r="Q255" s="6">
        <f>IF(P255&gt;2.5,1,0)</f>
        <v/>
      </c>
      <c r="R255" s="6">
        <f>IF(G255&gt;4,1,0)</f>
        <v/>
      </c>
      <c r="S255" s="6">
        <f>IF(AND(F255=1,P255&gt;0.5),1,0)</f>
        <v/>
      </c>
      <c r="T255" s="6">
        <f>IF(AND(OR(E255&gt;=23,E255&lt;=5),P255&gt;0),1,0)</f>
        <v/>
      </c>
      <c r="U255" s="6">
        <f>IF(H255=1,1,0)</f>
        <v/>
      </c>
      <c r="V255" s="6">
        <f>IF(I255&gt;=3,1,0)</f>
        <v/>
      </c>
      <c r="W255" s="6">
        <f>Q255*20+R255*15+S255*30+T255*15+U255*25+V255*20</f>
        <v/>
      </c>
      <c r="X255" s="6">
        <f>IF(W255&gt;=40,"REVIEW","OK")</f>
        <v/>
      </c>
    </row>
    <row r="256">
      <c r="A256" s="6" t="inlineStr">
        <is>
          <t>TXN-00255</t>
        </is>
      </c>
      <c r="B256" s="6" t="inlineStr">
        <is>
          <t>ACC-0016</t>
        </is>
      </c>
      <c r="C256" s="6" t="inlineStr">
        <is>
          <t>P2P Transfer</t>
        </is>
      </c>
      <c r="D256" s="6" t="n">
        <v>43139</v>
      </c>
      <c r="E256" s="6" t="n">
        <v>0</v>
      </c>
      <c r="F256" s="6" t="n">
        <v>0</v>
      </c>
      <c r="G256" s="6" t="n">
        <v>1</v>
      </c>
      <c r="H256" s="6" t="n">
        <v>0</v>
      </c>
      <c r="I256" s="6" t="n">
        <v>0</v>
      </c>
      <c r="J256" s="6" t="n">
        <v>1</v>
      </c>
      <c r="P256" s="7">
        <f>(D256-VLOOKUP(B256,$L$2:$N$61,2,FALSE))/VLOOKUP(B256,$L$2:$N$61,3,FALSE)</f>
        <v/>
      </c>
      <c r="Q256" s="6">
        <f>IF(P256&gt;2.5,1,0)</f>
        <v/>
      </c>
      <c r="R256" s="6">
        <f>IF(G256&gt;4,1,0)</f>
        <v/>
      </c>
      <c r="S256" s="6">
        <f>IF(AND(F256=1,P256&gt;0.5),1,0)</f>
        <v/>
      </c>
      <c r="T256" s="6">
        <f>IF(AND(OR(E256&gt;=23,E256&lt;=5),P256&gt;0),1,0)</f>
        <v/>
      </c>
      <c r="U256" s="6">
        <f>IF(H256=1,1,0)</f>
        <v/>
      </c>
      <c r="V256" s="6">
        <f>IF(I256&gt;=3,1,0)</f>
        <v/>
      </c>
      <c r="W256" s="6">
        <f>Q256*20+R256*15+S256*30+T256*15+U256*25+V256*20</f>
        <v/>
      </c>
      <c r="X256" s="6">
        <f>IF(W256&gt;=40,"REVIEW","OK")</f>
        <v/>
      </c>
    </row>
    <row r="257">
      <c r="A257" s="6" t="inlineStr">
        <is>
          <t>TXN-00256</t>
        </is>
      </c>
      <c r="B257" s="6" t="inlineStr">
        <is>
          <t>ACC-0056</t>
        </is>
      </c>
      <c r="C257" s="6" t="inlineStr">
        <is>
          <t>Merchant Payment</t>
        </is>
      </c>
      <c r="D257" s="6" t="n">
        <v>2799</v>
      </c>
      <c r="E257" s="6" t="n">
        <v>12</v>
      </c>
      <c r="F257" s="6" t="n">
        <v>0</v>
      </c>
      <c r="G257" s="6" t="n">
        <v>1</v>
      </c>
      <c r="H257" s="6" t="n">
        <v>0</v>
      </c>
      <c r="I257" s="6" t="n">
        <v>0</v>
      </c>
      <c r="J257" s="6" t="n">
        <v>0</v>
      </c>
      <c r="P257" s="7">
        <f>(D257-VLOOKUP(B257,$L$2:$N$61,2,FALSE))/VLOOKUP(B257,$L$2:$N$61,3,FALSE)</f>
        <v/>
      </c>
      <c r="Q257" s="6">
        <f>IF(P257&gt;2.5,1,0)</f>
        <v/>
      </c>
      <c r="R257" s="6">
        <f>IF(G257&gt;4,1,0)</f>
        <v/>
      </c>
      <c r="S257" s="6">
        <f>IF(AND(F257=1,P257&gt;0.5),1,0)</f>
        <v/>
      </c>
      <c r="T257" s="6">
        <f>IF(AND(OR(E257&gt;=23,E257&lt;=5),P257&gt;0),1,0)</f>
        <v/>
      </c>
      <c r="U257" s="6">
        <f>IF(H257=1,1,0)</f>
        <v/>
      </c>
      <c r="V257" s="6">
        <f>IF(I257&gt;=3,1,0)</f>
        <v/>
      </c>
      <c r="W257" s="6">
        <f>Q257*20+R257*15+S257*30+T257*15+U257*25+V257*20</f>
        <v/>
      </c>
      <c r="X257" s="6">
        <f>IF(W257&gt;=40,"REVIEW","OK")</f>
        <v/>
      </c>
    </row>
    <row r="258">
      <c r="A258" s="6" t="inlineStr">
        <is>
          <t>TXN-00257</t>
        </is>
      </c>
      <c r="B258" s="6" t="inlineStr">
        <is>
          <t>ACC-0041</t>
        </is>
      </c>
      <c r="C258" s="6" t="inlineStr">
        <is>
          <t>Bill Payment</t>
        </is>
      </c>
      <c r="D258" s="6" t="n">
        <v>6073</v>
      </c>
      <c r="E258" s="6" t="n">
        <v>5</v>
      </c>
      <c r="F258" s="6" t="n">
        <v>0</v>
      </c>
      <c r="G258" s="6" t="n">
        <v>7</v>
      </c>
      <c r="H258" s="6" t="n">
        <v>0</v>
      </c>
      <c r="I258" s="6" t="n">
        <v>2</v>
      </c>
      <c r="J258" s="6" t="n">
        <v>0</v>
      </c>
      <c r="P258" s="7">
        <f>(D258-VLOOKUP(B258,$L$2:$N$61,2,FALSE))/VLOOKUP(B258,$L$2:$N$61,3,FALSE)</f>
        <v/>
      </c>
      <c r="Q258" s="6">
        <f>IF(P258&gt;2.5,1,0)</f>
        <v/>
      </c>
      <c r="R258" s="6">
        <f>IF(G258&gt;4,1,0)</f>
        <v/>
      </c>
      <c r="S258" s="6">
        <f>IF(AND(F258=1,P258&gt;0.5),1,0)</f>
        <v/>
      </c>
      <c r="T258" s="6">
        <f>IF(AND(OR(E258&gt;=23,E258&lt;=5),P258&gt;0),1,0)</f>
        <v/>
      </c>
      <c r="U258" s="6">
        <f>IF(H258=1,1,0)</f>
        <v/>
      </c>
      <c r="V258" s="6">
        <f>IF(I258&gt;=3,1,0)</f>
        <v/>
      </c>
      <c r="W258" s="6">
        <f>Q258*20+R258*15+S258*30+T258*15+U258*25+V258*20</f>
        <v/>
      </c>
      <c r="X258" s="6">
        <f>IF(W258&gt;=40,"REVIEW","OK")</f>
        <v/>
      </c>
    </row>
    <row r="259">
      <c r="A259" s="6" t="inlineStr">
        <is>
          <t>TXN-00258</t>
        </is>
      </c>
      <c r="B259" s="6" t="inlineStr">
        <is>
          <t>ACC-0025</t>
        </is>
      </c>
      <c r="C259" s="6" t="inlineStr">
        <is>
          <t>Cash Withdrawal (Agent)</t>
        </is>
      </c>
      <c r="D259" s="6" t="n">
        <v>4973</v>
      </c>
      <c r="E259" s="6" t="n">
        <v>0</v>
      </c>
      <c r="F259" s="6" t="n">
        <v>0</v>
      </c>
      <c r="G259" s="6" t="n">
        <v>1</v>
      </c>
      <c r="H259" s="6" t="n">
        <v>0</v>
      </c>
      <c r="I259" s="6" t="n">
        <v>0</v>
      </c>
      <c r="J259" s="6" t="n">
        <v>0</v>
      </c>
      <c r="P259" s="7">
        <f>(D259-VLOOKUP(B259,$L$2:$N$61,2,FALSE))/VLOOKUP(B259,$L$2:$N$61,3,FALSE)</f>
        <v/>
      </c>
      <c r="Q259" s="6">
        <f>IF(P259&gt;2.5,1,0)</f>
        <v/>
      </c>
      <c r="R259" s="6">
        <f>IF(G259&gt;4,1,0)</f>
        <v/>
      </c>
      <c r="S259" s="6">
        <f>IF(AND(F259=1,P259&gt;0.5),1,0)</f>
        <v/>
      </c>
      <c r="T259" s="6">
        <f>IF(AND(OR(E259&gt;=23,E259&lt;=5),P259&gt;0),1,0)</f>
        <v/>
      </c>
      <c r="U259" s="6">
        <f>IF(H259=1,1,0)</f>
        <v/>
      </c>
      <c r="V259" s="6">
        <f>IF(I259&gt;=3,1,0)</f>
        <v/>
      </c>
      <c r="W259" s="6">
        <f>Q259*20+R259*15+S259*30+T259*15+U259*25+V259*20</f>
        <v/>
      </c>
      <c r="X259" s="6">
        <f>IF(W259&gt;=40,"REVIEW","OK")</f>
        <v/>
      </c>
    </row>
    <row r="260">
      <c r="A260" s="6" t="inlineStr">
        <is>
          <t>TXN-00259</t>
        </is>
      </c>
      <c r="B260" s="6" t="inlineStr">
        <is>
          <t>ACC-0037</t>
        </is>
      </c>
      <c r="C260" s="6" t="inlineStr">
        <is>
          <t>P2P Transfer</t>
        </is>
      </c>
      <c r="D260" s="6" t="n">
        <v>5360</v>
      </c>
      <c r="E260" s="6" t="n">
        <v>0</v>
      </c>
      <c r="F260" s="6" t="n">
        <v>0</v>
      </c>
      <c r="G260" s="6" t="n">
        <v>1</v>
      </c>
      <c r="H260" s="6" t="n">
        <v>0</v>
      </c>
      <c r="I260" s="6" t="n">
        <v>0</v>
      </c>
      <c r="J260" s="6" t="n">
        <v>0</v>
      </c>
      <c r="P260" s="7">
        <f>(D260-VLOOKUP(B260,$L$2:$N$61,2,FALSE))/VLOOKUP(B260,$L$2:$N$61,3,FALSE)</f>
        <v/>
      </c>
      <c r="Q260" s="6">
        <f>IF(P260&gt;2.5,1,0)</f>
        <v/>
      </c>
      <c r="R260" s="6">
        <f>IF(G260&gt;4,1,0)</f>
        <v/>
      </c>
      <c r="S260" s="6">
        <f>IF(AND(F260=1,P260&gt;0.5),1,0)</f>
        <v/>
      </c>
      <c r="T260" s="6">
        <f>IF(AND(OR(E260&gt;=23,E260&lt;=5),P260&gt;0),1,0)</f>
        <v/>
      </c>
      <c r="U260" s="6">
        <f>IF(H260=1,1,0)</f>
        <v/>
      </c>
      <c r="V260" s="6">
        <f>IF(I260&gt;=3,1,0)</f>
        <v/>
      </c>
      <c r="W260" s="6">
        <f>Q260*20+R260*15+S260*30+T260*15+U260*25+V260*20</f>
        <v/>
      </c>
      <c r="X260" s="6">
        <f>IF(W260&gt;=40,"REVIEW","OK")</f>
        <v/>
      </c>
    </row>
    <row r="261">
      <c r="A261" s="6" t="inlineStr">
        <is>
          <t>TXN-00260</t>
        </is>
      </c>
      <c r="B261" s="6" t="inlineStr">
        <is>
          <t>ACC-0048</t>
        </is>
      </c>
      <c r="C261" s="6" t="inlineStr">
        <is>
          <t>P2P Transfer</t>
        </is>
      </c>
      <c r="D261" s="6" t="n">
        <v>13942</v>
      </c>
      <c r="E261" s="6" t="n">
        <v>22</v>
      </c>
      <c r="F261" s="6" t="n">
        <v>0</v>
      </c>
      <c r="G261" s="6" t="n">
        <v>1</v>
      </c>
      <c r="H261" s="6" t="n">
        <v>0</v>
      </c>
      <c r="I261" s="6" t="n">
        <v>0</v>
      </c>
      <c r="J261" s="6" t="n">
        <v>0</v>
      </c>
      <c r="P261" s="7">
        <f>(D261-VLOOKUP(B261,$L$2:$N$61,2,FALSE))/VLOOKUP(B261,$L$2:$N$61,3,FALSE)</f>
        <v/>
      </c>
      <c r="Q261" s="6">
        <f>IF(P261&gt;2.5,1,0)</f>
        <v/>
      </c>
      <c r="R261" s="6">
        <f>IF(G261&gt;4,1,0)</f>
        <v/>
      </c>
      <c r="S261" s="6">
        <f>IF(AND(F261=1,P261&gt;0.5),1,0)</f>
        <v/>
      </c>
      <c r="T261" s="6">
        <f>IF(AND(OR(E261&gt;=23,E261&lt;=5),P261&gt;0),1,0)</f>
        <v/>
      </c>
      <c r="U261" s="6">
        <f>IF(H261=1,1,0)</f>
        <v/>
      </c>
      <c r="V261" s="6">
        <f>IF(I261&gt;=3,1,0)</f>
        <v/>
      </c>
      <c r="W261" s="6">
        <f>Q261*20+R261*15+S261*30+T261*15+U261*25+V261*20</f>
        <v/>
      </c>
      <c r="X261" s="6">
        <f>IF(W261&gt;=40,"REVIEW","OK")</f>
        <v/>
      </c>
    </row>
    <row r="262">
      <c r="A262" s="6" t="inlineStr">
        <is>
          <t>TXN-00261</t>
        </is>
      </c>
      <c r="B262" s="6" t="inlineStr">
        <is>
          <t>ACC-0054</t>
        </is>
      </c>
      <c r="C262" s="6" t="inlineStr">
        <is>
          <t>P2P Transfer</t>
        </is>
      </c>
      <c r="D262" s="6" t="n">
        <v>12938</v>
      </c>
      <c r="E262" s="6" t="n">
        <v>20</v>
      </c>
      <c r="F262" s="6" t="n">
        <v>0</v>
      </c>
      <c r="G262" s="6" t="n">
        <v>1</v>
      </c>
      <c r="H262" s="6" t="n">
        <v>0</v>
      </c>
      <c r="I262" s="6" t="n">
        <v>0</v>
      </c>
      <c r="J262" s="6" t="n">
        <v>0</v>
      </c>
      <c r="P262" s="7">
        <f>(D262-VLOOKUP(B262,$L$2:$N$61,2,FALSE))/VLOOKUP(B262,$L$2:$N$61,3,FALSE)</f>
        <v/>
      </c>
      <c r="Q262" s="6">
        <f>IF(P262&gt;2.5,1,0)</f>
        <v/>
      </c>
      <c r="R262" s="6">
        <f>IF(G262&gt;4,1,0)</f>
        <v/>
      </c>
      <c r="S262" s="6">
        <f>IF(AND(F262=1,P262&gt;0.5),1,0)</f>
        <v/>
      </c>
      <c r="T262" s="6">
        <f>IF(AND(OR(E262&gt;=23,E262&lt;=5),P262&gt;0),1,0)</f>
        <v/>
      </c>
      <c r="U262" s="6">
        <f>IF(H262=1,1,0)</f>
        <v/>
      </c>
      <c r="V262" s="6">
        <f>IF(I262&gt;=3,1,0)</f>
        <v/>
      </c>
      <c r="W262" s="6">
        <f>Q262*20+R262*15+S262*30+T262*15+U262*25+V262*20</f>
        <v/>
      </c>
      <c r="X262" s="6">
        <f>IF(W262&gt;=40,"REVIEW","OK")</f>
        <v/>
      </c>
    </row>
    <row r="263">
      <c r="A263" s="6" t="inlineStr">
        <is>
          <t>TXN-00262</t>
        </is>
      </c>
      <c r="B263" s="6" t="inlineStr">
        <is>
          <t>ACC-0025</t>
        </is>
      </c>
      <c r="C263" s="6" t="inlineStr">
        <is>
          <t>Bill Payment</t>
        </is>
      </c>
      <c r="D263" s="6" t="n">
        <v>2710</v>
      </c>
      <c r="E263" s="6" t="n">
        <v>11</v>
      </c>
      <c r="F263" s="6" t="n">
        <v>0</v>
      </c>
      <c r="G263" s="6" t="n">
        <v>1</v>
      </c>
      <c r="H263" s="6" t="n">
        <v>0</v>
      </c>
      <c r="I263" s="6" t="n">
        <v>0</v>
      </c>
      <c r="J263" s="6" t="n">
        <v>0</v>
      </c>
      <c r="P263" s="7">
        <f>(D263-VLOOKUP(B263,$L$2:$N$61,2,FALSE))/VLOOKUP(B263,$L$2:$N$61,3,FALSE)</f>
        <v/>
      </c>
      <c r="Q263" s="6">
        <f>IF(P263&gt;2.5,1,0)</f>
        <v/>
      </c>
      <c r="R263" s="6">
        <f>IF(G263&gt;4,1,0)</f>
        <v/>
      </c>
      <c r="S263" s="6">
        <f>IF(AND(F263=1,P263&gt;0.5),1,0)</f>
        <v/>
      </c>
      <c r="T263" s="6">
        <f>IF(AND(OR(E263&gt;=23,E263&lt;=5),P263&gt;0),1,0)</f>
        <v/>
      </c>
      <c r="U263" s="6">
        <f>IF(H263=1,1,0)</f>
        <v/>
      </c>
      <c r="V263" s="6">
        <f>IF(I263&gt;=3,1,0)</f>
        <v/>
      </c>
      <c r="W263" s="6">
        <f>Q263*20+R263*15+S263*30+T263*15+U263*25+V263*20</f>
        <v/>
      </c>
      <c r="X263" s="6">
        <f>IF(W263&gt;=40,"REVIEW","OK")</f>
        <v/>
      </c>
    </row>
    <row r="264">
      <c r="A264" s="6" t="inlineStr">
        <is>
          <t>TXN-00263</t>
        </is>
      </c>
      <c r="B264" s="6" t="inlineStr">
        <is>
          <t>ACC-0017</t>
        </is>
      </c>
      <c r="C264" s="6" t="inlineStr">
        <is>
          <t>Bill Payment</t>
        </is>
      </c>
      <c r="D264" s="6" t="n">
        <v>7050</v>
      </c>
      <c r="E264" s="6" t="n">
        <v>13</v>
      </c>
      <c r="F264" s="6" t="n">
        <v>0</v>
      </c>
      <c r="G264" s="6" t="n">
        <v>7</v>
      </c>
      <c r="H264" s="6" t="n">
        <v>0</v>
      </c>
      <c r="I264" s="6" t="n">
        <v>0</v>
      </c>
      <c r="J264" s="6" t="n">
        <v>0</v>
      </c>
      <c r="P264" s="7">
        <f>(D264-VLOOKUP(B264,$L$2:$N$61,2,FALSE))/VLOOKUP(B264,$L$2:$N$61,3,FALSE)</f>
        <v/>
      </c>
      <c r="Q264" s="6">
        <f>IF(P264&gt;2.5,1,0)</f>
        <v/>
      </c>
      <c r="R264" s="6">
        <f>IF(G264&gt;4,1,0)</f>
        <v/>
      </c>
      <c r="S264" s="6">
        <f>IF(AND(F264=1,P264&gt;0.5),1,0)</f>
        <v/>
      </c>
      <c r="T264" s="6">
        <f>IF(AND(OR(E264&gt;=23,E264&lt;=5),P264&gt;0),1,0)</f>
        <v/>
      </c>
      <c r="U264" s="6">
        <f>IF(H264=1,1,0)</f>
        <v/>
      </c>
      <c r="V264" s="6">
        <f>IF(I264&gt;=3,1,0)</f>
        <v/>
      </c>
      <c r="W264" s="6">
        <f>Q264*20+R264*15+S264*30+T264*15+U264*25+V264*20</f>
        <v/>
      </c>
      <c r="X264" s="6">
        <f>IF(W264&gt;=40,"REVIEW","OK")</f>
        <v/>
      </c>
    </row>
    <row r="265">
      <c r="A265" s="6" t="inlineStr">
        <is>
          <t>TXN-00264</t>
        </is>
      </c>
      <c r="B265" s="6" t="inlineStr">
        <is>
          <t>ACC-0008</t>
        </is>
      </c>
      <c r="C265" s="6" t="inlineStr">
        <is>
          <t>P2P Transfer</t>
        </is>
      </c>
      <c r="D265" s="6" t="n">
        <v>16416</v>
      </c>
      <c r="E265" s="6" t="n">
        <v>7</v>
      </c>
      <c r="F265" s="6" t="n">
        <v>0</v>
      </c>
      <c r="G265" s="6" t="n">
        <v>1</v>
      </c>
      <c r="H265" s="6" t="n">
        <v>0</v>
      </c>
      <c r="I265" s="6" t="n">
        <v>0</v>
      </c>
      <c r="J265" s="6" t="n">
        <v>0</v>
      </c>
      <c r="P265" s="7">
        <f>(D265-VLOOKUP(B265,$L$2:$N$61,2,FALSE))/VLOOKUP(B265,$L$2:$N$61,3,FALSE)</f>
        <v/>
      </c>
      <c r="Q265" s="6">
        <f>IF(P265&gt;2.5,1,0)</f>
        <v/>
      </c>
      <c r="R265" s="6">
        <f>IF(G265&gt;4,1,0)</f>
        <v/>
      </c>
      <c r="S265" s="6">
        <f>IF(AND(F265=1,P265&gt;0.5),1,0)</f>
        <v/>
      </c>
      <c r="T265" s="6">
        <f>IF(AND(OR(E265&gt;=23,E265&lt;=5),P265&gt;0),1,0)</f>
        <v/>
      </c>
      <c r="U265" s="6">
        <f>IF(H265=1,1,0)</f>
        <v/>
      </c>
      <c r="V265" s="6">
        <f>IF(I265&gt;=3,1,0)</f>
        <v/>
      </c>
      <c r="W265" s="6">
        <f>Q265*20+R265*15+S265*30+T265*15+U265*25+V265*20</f>
        <v/>
      </c>
      <c r="X265" s="6">
        <f>IF(W265&gt;=40,"REVIEW","OK")</f>
        <v/>
      </c>
    </row>
    <row r="266">
      <c r="A266" s="6" t="inlineStr">
        <is>
          <t>TXN-00265</t>
        </is>
      </c>
      <c r="B266" s="6" t="inlineStr">
        <is>
          <t>ACC-0037</t>
        </is>
      </c>
      <c r="C266" s="6" t="inlineStr">
        <is>
          <t>Bill Payment</t>
        </is>
      </c>
      <c r="D266" s="6" t="n">
        <v>4621</v>
      </c>
      <c r="E266" s="6" t="n">
        <v>11</v>
      </c>
      <c r="F266" s="6" t="n">
        <v>0</v>
      </c>
      <c r="G266" s="6" t="n">
        <v>2</v>
      </c>
      <c r="H266" s="6" t="n">
        <v>0</v>
      </c>
      <c r="I266" s="6" t="n">
        <v>0</v>
      </c>
      <c r="J266" s="6" t="n">
        <v>0</v>
      </c>
      <c r="P266" s="7">
        <f>(D266-VLOOKUP(B266,$L$2:$N$61,2,FALSE))/VLOOKUP(B266,$L$2:$N$61,3,FALSE)</f>
        <v/>
      </c>
      <c r="Q266" s="6">
        <f>IF(P266&gt;2.5,1,0)</f>
        <v/>
      </c>
      <c r="R266" s="6">
        <f>IF(G266&gt;4,1,0)</f>
        <v/>
      </c>
      <c r="S266" s="6">
        <f>IF(AND(F266=1,P266&gt;0.5),1,0)</f>
        <v/>
      </c>
      <c r="T266" s="6">
        <f>IF(AND(OR(E266&gt;=23,E266&lt;=5),P266&gt;0),1,0)</f>
        <v/>
      </c>
      <c r="U266" s="6">
        <f>IF(H266=1,1,0)</f>
        <v/>
      </c>
      <c r="V266" s="6">
        <f>IF(I266&gt;=3,1,0)</f>
        <v/>
      </c>
      <c r="W266" s="6">
        <f>Q266*20+R266*15+S266*30+T266*15+U266*25+V266*20</f>
        <v/>
      </c>
      <c r="X266" s="6">
        <f>IF(W266&gt;=40,"REVIEW","OK")</f>
        <v/>
      </c>
    </row>
    <row r="267">
      <c r="A267" s="6" t="inlineStr">
        <is>
          <t>TXN-00266</t>
        </is>
      </c>
      <c r="B267" s="6" t="inlineStr">
        <is>
          <t>ACC-0003</t>
        </is>
      </c>
      <c r="C267" s="6" t="inlineStr">
        <is>
          <t>P2P Transfer</t>
        </is>
      </c>
      <c r="D267" s="6" t="n">
        <v>5163</v>
      </c>
      <c r="E267" s="6" t="n">
        <v>15</v>
      </c>
      <c r="F267" s="6" t="n">
        <v>0</v>
      </c>
      <c r="G267" s="6" t="n">
        <v>1</v>
      </c>
      <c r="H267" s="6" t="n">
        <v>0</v>
      </c>
      <c r="I267" s="6" t="n">
        <v>0</v>
      </c>
      <c r="J267" s="6" t="n">
        <v>0</v>
      </c>
      <c r="P267" s="7">
        <f>(D267-VLOOKUP(B267,$L$2:$N$61,2,FALSE))/VLOOKUP(B267,$L$2:$N$61,3,FALSE)</f>
        <v/>
      </c>
      <c r="Q267" s="6">
        <f>IF(P267&gt;2.5,1,0)</f>
        <v/>
      </c>
      <c r="R267" s="6">
        <f>IF(G267&gt;4,1,0)</f>
        <v/>
      </c>
      <c r="S267" s="6">
        <f>IF(AND(F267=1,P267&gt;0.5),1,0)</f>
        <v/>
      </c>
      <c r="T267" s="6">
        <f>IF(AND(OR(E267&gt;=23,E267&lt;=5),P267&gt;0),1,0)</f>
        <v/>
      </c>
      <c r="U267" s="6">
        <f>IF(H267=1,1,0)</f>
        <v/>
      </c>
      <c r="V267" s="6">
        <f>IF(I267&gt;=3,1,0)</f>
        <v/>
      </c>
      <c r="W267" s="6">
        <f>Q267*20+R267*15+S267*30+T267*15+U267*25+V267*20</f>
        <v/>
      </c>
      <c r="X267" s="6">
        <f>IF(W267&gt;=40,"REVIEW","OK")</f>
        <v/>
      </c>
    </row>
    <row r="268">
      <c r="A268" s="6" t="inlineStr">
        <is>
          <t>TXN-00267</t>
        </is>
      </c>
      <c r="B268" s="6" t="inlineStr">
        <is>
          <t>ACC-0021</t>
        </is>
      </c>
      <c r="C268" s="6" t="inlineStr">
        <is>
          <t>P2P Transfer</t>
        </is>
      </c>
      <c r="D268" s="6" t="n">
        <v>6157</v>
      </c>
      <c r="E268" s="6" t="n">
        <v>3</v>
      </c>
      <c r="F268" s="6" t="n">
        <v>0</v>
      </c>
      <c r="G268" s="6" t="n">
        <v>1</v>
      </c>
      <c r="H268" s="6" t="n">
        <v>1</v>
      </c>
      <c r="I268" s="6" t="n">
        <v>0</v>
      </c>
      <c r="J268" s="6" t="n">
        <v>0</v>
      </c>
      <c r="P268" s="7">
        <f>(D268-VLOOKUP(B268,$L$2:$N$61,2,FALSE))/VLOOKUP(B268,$L$2:$N$61,3,FALSE)</f>
        <v/>
      </c>
      <c r="Q268" s="6">
        <f>IF(P268&gt;2.5,1,0)</f>
        <v/>
      </c>
      <c r="R268" s="6">
        <f>IF(G268&gt;4,1,0)</f>
        <v/>
      </c>
      <c r="S268" s="6">
        <f>IF(AND(F268=1,P268&gt;0.5),1,0)</f>
        <v/>
      </c>
      <c r="T268" s="6">
        <f>IF(AND(OR(E268&gt;=23,E268&lt;=5),P268&gt;0),1,0)</f>
        <v/>
      </c>
      <c r="U268" s="6">
        <f>IF(H268=1,1,0)</f>
        <v/>
      </c>
      <c r="V268" s="6">
        <f>IF(I268&gt;=3,1,0)</f>
        <v/>
      </c>
      <c r="W268" s="6">
        <f>Q268*20+R268*15+S268*30+T268*15+U268*25+V268*20</f>
        <v/>
      </c>
      <c r="X268" s="6">
        <f>IF(W268&gt;=40,"REVIEW","OK")</f>
        <v/>
      </c>
    </row>
    <row r="269">
      <c r="A269" s="6" t="inlineStr">
        <is>
          <t>TXN-00268</t>
        </is>
      </c>
      <c r="B269" s="6" t="inlineStr">
        <is>
          <t>ACC-0016</t>
        </is>
      </c>
      <c r="C269" s="6" t="inlineStr">
        <is>
          <t>Merchant Payment</t>
        </is>
      </c>
      <c r="D269" s="6" t="n">
        <v>18421</v>
      </c>
      <c r="E269" s="6" t="n">
        <v>19</v>
      </c>
      <c r="F269" s="6" t="n">
        <v>0</v>
      </c>
      <c r="G269" s="6" t="n">
        <v>1</v>
      </c>
      <c r="H269" s="6" t="n">
        <v>1</v>
      </c>
      <c r="I269" s="6" t="n">
        <v>4</v>
      </c>
      <c r="J269" s="6" t="n">
        <v>0</v>
      </c>
      <c r="P269" s="7">
        <f>(D269-VLOOKUP(B269,$L$2:$N$61,2,FALSE))/VLOOKUP(B269,$L$2:$N$61,3,FALSE)</f>
        <v/>
      </c>
      <c r="Q269" s="6">
        <f>IF(P269&gt;2.5,1,0)</f>
        <v/>
      </c>
      <c r="R269" s="6">
        <f>IF(G269&gt;4,1,0)</f>
        <v/>
      </c>
      <c r="S269" s="6">
        <f>IF(AND(F269=1,P269&gt;0.5),1,0)</f>
        <v/>
      </c>
      <c r="T269" s="6">
        <f>IF(AND(OR(E269&gt;=23,E269&lt;=5),P269&gt;0),1,0)</f>
        <v/>
      </c>
      <c r="U269" s="6">
        <f>IF(H269=1,1,0)</f>
        <v/>
      </c>
      <c r="V269" s="6">
        <f>IF(I269&gt;=3,1,0)</f>
        <v/>
      </c>
      <c r="W269" s="6">
        <f>Q269*20+R269*15+S269*30+T269*15+U269*25+V269*20</f>
        <v/>
      </c>
      <c r="X269" s="6">
        <f>IF(W269&gt;=40,"REVIEW","OK")</f>
        <v/>
      </c>
    </row>
    <row r="270">
      <c r="A270" s="6" t="inlineStr">
        <is>
          <t>TXN-00269</t>
        </is>
      </c>
      <c r="B270" s="6" t="inlineStr">
        <is>
          <t>ACC-0024</t>
        </is>
      </c>
      <c r="C270" s="6" t="inlineStr">
        <is>
          <t>P2P Transfer</t>
        </is>
      </c>
      <c r="D270" s="6" t="n">
        <v>1660</v>
      </c>
      <c r="E270" s="6" t="n">
        <v>14</v>
      </c>
      <c r="F270" s="6" t="n">
        <v>0</v>
      </c>
      <c r="G270" s="6" t="n">
        <v>2</v>
      </c>
      <c r="H270" s="6" t="n">
        <v>0</v>
      </c>
      <c r="I270" s="6" t="n">
        <v>0</v>
      </c>
      <c r="J270" s="6" t="n">
        <v>0</v>
      </c>
      <c r="P270" s="7">
        <f>(D270-VLOOKUP(B270,$L$2:$N$61,2,FALSE))/VLOOKUP(B270,$L$2:$N$61,3,FALSE)</f>
        <v/>
      </c>
      <c r="Q270" s="6">
        <f>IF(P270&gt;2.5,1,0)</f>
        <v/>
      </c>
      <c r="R270" s="6">
        <f>IF(G270&gt;4,1,0)</f>
        <v/>
      </c>
      <c r="S270" s="6">
        <f>IF(AND(F270=1,P270&gt;0.5),1,0)</f>
        <v/>
      </c>
      <c r="T270" s="6">
        <f>IF(AND(OR(E270&gt;=23,E270&lt;=5),P270&gt;0),1,0)</f>
        <v/>
      </c>
      <c r="U270" s="6">
        <f>IF(H270=1,1,0)</f>
        <v/>
      </c>
      <c r="V270" s="6">
        <f>IF(I270&gt;=3,1,0)</f>
        <v/>
      </c>
      <c r="W270" s="6">
        <f>Q270*20+R270*15+S270*30+T270*15+U270*25+V270*20</f>
        <v/>
      </c>
      <c r="X270" s="6">
        <f>IF(W270&gt;=40,"REVIEW","OK")</f>
        <v/>
      </c>
    </row>
    <row r="271">
      <c r="A271" s="6" t="inlineStr">
        <is>
          <t>TXN-00270</t>
        </is>
      </c>
      <c r="B271" s="6" t="inlineStr">
        <is>
          <t>ACC-0054</t>
        </is>
      </c>
      <c r="C271" s="6" t="inlineStr">
        <is>
          <t>Bill Payment</t>
        </is>
      </c>
      <c r="D271" s="6" t="n">
        <v>12006</v>
      </c>
      <c r="E271" s="6" t="n">
        <v>3</v>
      </c>
      <c r="F271" s="6" t="n">
        <v>0</v>
      </c>
      <c r="G271" s="6" t="n">
        <v>3</v>
      </c>
      <c r="H271" s="6" t="n">
        <v>0</v>
      </c>
      <c r="I271" s="6" t="n">
        <v>0</v>
      </c>
      <c r="J271" s="6" t="n">
        <v>0</v>
      </c>
      <c r="P271" s="7">
        <f>(D271-VLOOKUP(B271,$L$2:$N$61,2,FALSE))/VLOOKUP(B271,$L$2:$N$61,3,FALSE)</f>
        <v/>
      </c>
      <c r="Q271" s="6">
        <f>IF(P271&gt;2.5,1,0)</f>
        <v/>
      </c>
      <c r="R271" s="6">
        <f>IF(G271&gt;4,1,0)</f>
        <v/>
      </c>
      <c r="S271" s="6">
        <f>IF(AND(F271=1,P271&gt;0.5),1,0)</f>
        <v/>
      </c>
      <c r="T271" s="6">
        <f>IF(AND(OR(E271&gt;=23,E271&lt;=5),P271&gt;0),1,0)</f>
        <v/>
      </c>
      <c r="U271" s="6">
        <f>IF(H271=1,1,0)</f>
        <v/>
      </c>
      <c r="V271" s="6">
        <f>IF(I271&gt;=3,1,0)</f>
        <v/>
      </c>
      <c r="W271" s="6">
        <f>Q271*20+R271*15+S271*30+T271*15+U271*25+V271*20</f>
        <v/>
      </c>
      <c r="X271" s="6">
        <f>IF(W271&gt;=40,"REVIEW","OK")</f>
        <v/>
      </c>
    </row>
    <row r="272">
      <c r="A272" s="6" t="inlineStr">
        <is>
          <t>TXN-00271</t>
        </is>
      </c>
      <c r="B272" s="6" t="inlineStr">
        <is>
          <t>ACC-0050</t>
        </is>
      </c>
      <c r="C272" s="6" t="inlineStr">
        <is>
          <t>P2P Transfer</t>
        </is>
      </c>
      <c r="D272" s="6" t="n">
        <v>3579</v>
      </c>
      <c r="E272" s="6" t="n">
        <v>9</v>
      </c>
      <c r="F272" s="6" t="n">
        <v>0</v>
      </c>
      <c r="G272" s="6" t="n">
        <v>5</v>
      </c>
      <c r="H272" s="6" t="n">
        <v>0</v>
      </c>
      <c r="I272" s="6" t="n">
        <v>0</v>
      </c>
      <c r="J272" s="6" t="n">
        <v>0</v>
      </c>
      <c r="P272" s="7">
        <f>(D272-VLOOKUP(B272,$L$2:$N$61,2,FALSE))/VLOOKUP(B272,$L$2:$N$61,3,FALSE)</f>
        <v/>
      </c>
      <c r="Q272" s="6">
        <f>IF(P272&gt;2.5,1,0)</f>
        <v/>
      </c>
      <c r="R272" s="6">
        <f>IF(G272&gt;4,1,0)</f>
        <v/>
      </c>
      <c r="S272" s="6">
        <f>IF(AND(F272=1,P272&gt;0.5),1,0)</f>
        <v/>
      </c>
      <c r="T272" s="6">
        <f>IF(AND(OR(E272&gt;=23,E272&lt;=5),P272&gt;0),1,0)</f>
        <v/>
      </c>
      <c r="U272" s="6">
        <f>IF(H272=1,1,0)</f>
        <v/>
      </c>
      <c r="V272" s="6">
        <f>IF(I272&gt;=3,1,0)</f>
        <v/>
      </c>
      <c r="W272" s="6">
        <f>Q272*20+R272*15+S272*30+T272*15+U272*25+V272*20</f>
        <v/>
      </c>
      <c r="X272" s="6">
        <f>IF(W272&gt;=40,"REVIEW","OK")</f>
        <v/>
      </c>
    </row>
    <row r="273">
      <c r="A273" s="6" t="inlineStr">
        <is>
          <t>TXN-00272</t>
        </is>
      </c>
      <c r="B273" s="6" t="inlineStr">
        <is>
          <t>ACC-0056</t>
        </is>
      </c>
      <c r="C273" s="6" t="inlineStr">
        <is>
          <t>Bill Payment</t>
        </is>
      </c>
      <c r="D273" s="6" t="n">
        <v>4976</v>
      </c>
      <c r="E273" s="6" t="n">
        <v>11</v>
      </c>
      <c r="F273" s="6" t="n">
        <v>0</v>
      </c>
      <c r="G273" s="6" t="n">
        <v>6</v>
      </c>
      <c r="H273" s="6" t="n">
        <v>0</v>
      </c>
      <c r="I273" s="6" t="n">
        <v>2</v>
      </c>
      <c r="J273" s="6" t="n">
        <v>0</v>
      </c>
      <c r="P273" s="7">
        <f>(D273-VLOOKUP(B273,$L$2:$N$61,2,FALSE))/VLOOKUP(B273,$L$2:$N$61,3,FALSE)</f>
        <v/>
      </c>
      <c r="Q273" s="6">
        <f>IF(P273&gt;2.5,1,0)</f>
        <v/>
      </c>
      <c r="R273" s="6">
        <f>IF(G273&gt;4,1,0)</f>
        <v/>
      </c>
      <c r="S273" s="6">
        <f>IF(AND(F273=1,P273&gt;0.5),1,0)</f>
        <v/>
      </c>
      <c r="T273" s="6">
        <f>IF(AND(OR(E273&gt;=23,E273&lt;=5),P273&gt;0),1,0)</f>
        <v/>
      </c>
      <c r="U273" s="6">
        <f>IF(H273=1,1,0)</f>
        <v/>
      </c>
      <c r="V273" s="6">
        <f>IF(I273&gt;=3,1,0)</f>
        <v/>
      </c>
      <c r="W273" s="6">
        <f>Q273*20+R273*15+S273*30+T273*15+U273*25+V273*20</f>
        <v/>
      </c>
      <c r="X273" s="6">
        <f>IF(W273&gt;=40,"REVIEW","OK")</f>
        <v/>
      </c>
    </row>
    <row r="274">
      <c r="A274" s="6" t="inlineStr">
        <is>
          <t>TXN-00273</t>
        </is>
      </c>
      <c r="B274" s="6" t="inlineStr">
        <is>
          <t>ACC-0037</t>
        </is>
      </c>
      <c r="C274" s="6" t="inlineStr">
        <is>
          <t>Merchant Payment</t>
        </is>
      </c>
      <c r="D274" s="6" t="n">
        <v>4611</v>
      </c>
      <c r="E274" s="6" t="n">
        <v>21</v>
      </c>
      <c r="F274" s="6" t="n">
        <v>0</v>
      </c>
      <c r="G274" s="6" t="n">
        <v>1</v>
      </c>
      <c r="H274" s="6" t="n">
        <v>0</v>
      </c>
      <c r="I274" s="6" t="n">
        <v>2</v>
      </c>
      <c r="J274" s="6" t="n">
        <v>0</v>
      </c>
      <c r="P274" s="7">
        <f>(D274-VLOOKUP(B274,$L$2:$N$61,2,FALSE))/VLOOKUP(B274,$L$2:$N$61,3,FALSE)</f>
        <v/>
      </c>
      <c r="Q274" s="6">
        <f>IF(P274&gt;2.5,1,0)</f>
        <v/>
      </c>
      <c r="R274" s="6">
        <f>IF(G274&gt;4,1,0)</f>
        <v/>
      </c>
      <c r="S274" s="6">
        <f>IF(AND(F274=1,P274&gt;0.5),1,0)</f>
        <v/>
      </c>
      <c r="T274" s="6">
        <f>IF(AND(OR(E274&gt;=23,E274&lt;=5),P274&gt;0),1,0)</f>
        <v/>
      </c>
      <c r="U274" s="6">
        <f>IF(H274=1,1,0)</f>
        <v/>
      </c>
      <c r="V274" s="6">
        <f>IF(I274&gt;=3,1,0)</f>
        <v/>
      </c>
      <c r="W274" s="6">
        <f>Q274*20+R274*15+S274*30+T274*15+U274*25+V274*20</f>
        <v/>
      </c>
      <c r="X274" s="6">
        <f>IF(W274&gt;=40,"REVIEW","OK")</f>
        <v/>
      </c>
    </row>
    <row r="275">
      <c r="A275" s="6" t="inlineStr">
        <is>
          <t>TXN-00274</t>
        </is>
      </c>
      <c r="B275" s="6" t="inlineStr">
        <is>
          <t>ACC-0022</t>
        </is>
      </c>
      <c r="C275" s="6" t="inlineStr">
        <is>
          <t>P2P Transfer</t>
        </is>
      </c>
      <c r="D275" s="6" t="n">
        <v>3994</v>
      </c>
      <c r="E275" s="6" t="n">
        <v>14</v>
      </c>
      <c r="F275" s="6" t="n">
        <v>0</v>
      </c>
      <c r="G275" s="6" t="n">
        <v>1</v>
      </c>
      <c r="H275" s="6" t="n">
        <v>0</v>
      </c>
      <c r="I275" s="6" t="n">
        <v>3</v>
      </c>
      <c r="J275" s="6" t="n">
        <v>0</v>
      </c>
      <c r="P275" s="7">
        <f>(D275-VLOOKUP(B275,$L$2:$N$61,2,FALSE))/VLOOKUP(B275,$L$2:$N$61,3,FALSE)</f>
        <v/>
      </c>
      <c r="Q275" s="6">
        <f>IF(P275&gt;2.5,1,0)</f>
        <v/>
      </c>
      <c r="R275" s="6">
        <f>IF(G275&gt;4,1,0)</f>
        <v/>
      </c>
      <c r="S275" s="6">
        <f>IF(AND(F275=1,P275&gt;0.5),1,0)</f>
        <v/>
      </c>
      <c r="T275" s="6">
        <f>IF(AND(OR(E275&gt;=23,E275&lt;=5),P275&gt;0),1,0)</f>
        <v/>
      </c>
      <c r="U275" s="6">
        <f>IF(H275=1,1,0)</f>
        <v/>
      </c>
      <c r="V275" s="6">
        <f>IF(I275&gt;=3,1,0)</f>
        <v/>
      </c>
      <c r="W275" s="6">
        <f>Q275*20+R275*15+S275*30+T275*15+U275*25+V275*20</f>
        <v/>
      </c>
      <c r="X275" s="6">
        <f>IF(W275&gt;=40,"REVIEW","OK")</f>
        <v/>
      </c>
    </row>
    <row r="276">
      <c r="A276" s="6" t="inlineStr">
        <is>
          <t>TXN-00275</t>
        </is>
      </c>
      <c r="B276" s="6" t="inlineStr">
        <is>
          <t>ACC-0028</t>
        </is>
      </c>
      <c r="C276" s="6" t="inlineStr">
        <is>
          <t>Bill Payment</t>
        </is>
      </c>
      <c r="D276" s="6" t="n">
        <v>2273</v>
      </c>
      <c r="E276" s="6" t="n">
        <v>3</v>
      </c>
      <c r="F276" s="6" t="n">
        <v>0</v>
      </c>
      <c r="G276" s="6" t="n">
        <v>3</v>
      </c>
      <c r="H276" s="6" t="n">
        <v>0</v>
      </c>
      <c r="I276" s="6" t="n">
        <v>0</v>
      </c>
      <c r="J276" s="6" t="n">
        <v>0</v>
      </c>
      <c r="P276" s="7">
        <f>(D276-VLOOKUP(B276,$L$2:$N$61,2,FALSE))/VLOOKUP(B276,$L$2:$N$61,3,FALSE)</f>
        <v/>
      </c>
      <c r="Q276" s="6">
        <f>IF(P276&gt;2.5,1,0)</f>
        <v/>
      </c>
      <c r="R276" s="6">
        <f>IF(G276&gt;4,1,0)</f>
        <v/>
      </c>
      <c r="S276" s="6">
        <f>IF(AND(F276=1,P276&gt;0.5),1,0)</f>
        <v/>
      </c>
      <c r="T276" s="6">
        <f>IF(AND(OR(E276&gt;=23,E276&lt;=5),P276&gt;0),1,0)</f>
        <v/>
      </c>
      <c r="U276" s="6">
        <f>IF(H276=1,1,0)</f>
        <v/>
      </c>
      <c r="V276" s="6">
        <f>IF(I276&gt;=3,1,0)</f>
        <v/>
      </c>
      <c r="W276" s="6">
        <f>Q276*20+R276*15+S276*30+T276*15+U276*25+V276*20</f>
        <v/>
      </c>
      <c r="X276" s="6">
        <f>IF(W276&gt;=40,"REVIEW","OK")</f>
        <v/>
      </c>
    </row>
    <row r="277">
      <c r="A277" s="6" t="inlineStr">
        <is>
          <t>TXN-00276</t>
        </is>
      </c>
      <c r="B277" s="6" t="inlineStr">
        <is>
          <t>ACC-0030</t>
        </is>
      </c>
      <c r="C277" s="6" t="inlineStr">
        <is>
          <t>Cash Withdrawal (Agent)</t>
        </is>
      </c>
      <c r="D277" s="6" t="n">
        <v>9459</v>
      </c>
      <c r="E277" s="6" t="n">
        <v>21</v>
      </c>
      <c r="F277" s="6" t="n">
        <v>0</v>
      </c>
      <c r="G277" s="6" t="n">
        <v>1</v>
      </c>
      <c r="H277" s="6" t="n">
        <v>0</v>
      </c>
      <c r="I277" s="6" t="n">
        <v>0</v>
      </c>
      <c r="J277" s="6" t="n">
        <v>0</v>
      </c>
      <c r="P277" s="7">
        <f>(D277-VLOOKUP(B277,$L$2:$N$61,2,FALSE))/VLOOKUP(B277,$L$2:$N$61,3,FALSE)</f>
        <v/>
      </c>
      <c r="Q277" s="6">
        <f>IF(P277&gt;2.5,1,0)</f>
        <v/>
      </c>
      <c r="R277" s="6">
        <f>IF(G277&gt;4,1,0)</f>
        <v/>
      </c>
      <c r="S277" s="6">
        <f>IF(AND(F277=1,P277&gt;0.5),1,0)</f>
        <v/>
      </c>
      <c r="T277" s="6">
        <f>IF(AND(OR(E277&gt;=23,E277&lt;=5),P277&gt;0),1,0)</f>
        <v/>
      </c>
      <c r="U277" s="6">
        <f>IF(H277=1,1,0)</f>
        <v/>
      </c>
      <c r="V277" s="6">
        <f>IF(I277&gt;=3,1,0)</f>
        <v/>
      </c>
      <c r="W277" s="6">
        <f>Q277*20+R277*15+S277*30+T277*15+U277*25+V277*20</f>
        <v/>
      </c>
      <c r="X277" s="6">
        <f>IF(W277&gt;=40,"REVIEW","OK")</f>
        <v/>
      </c>
    </row>
    <row r="278">
      <c r="A278" s="6" t="inlineStr">
        <is>
          <t>TXN-00277</t>
        </is>
      </c>
      <c r="B278" s="6" t="inlineStr">
        <is>
          <t>ACC-0056</t>
        </is>
      </c>
      <c r="C278" s="6" t="inlineStr">
        <is>
          <t>Airtime Top-up</t>
        </is>
      </c>
      <c r="D278" s="6" t="n">
        <v>7010</v>
      </c>
      <c r="E278" s="6" t="n">
        <v>5</v>
      </c>
      <c r="F278" s="6" t="n">
        <v>0</v>
      </c>
      <c r="G278" s="6" t="n">
        <v>3</v>
      </c>
      <c r="H278" s="6" t="n">
        <v>0</v>
      </c>
      <c r="I278" s="6" t="n">
        <v>0</v>
      </c>
      <c r="J278" s="6" t="n">
        <v>0</v>
      </c>
      <c r="P278" s="7">
        <f>(D278-VLOOKUP(B278,$L$2:$N$61,2,FALSE))/VLOOKUP(B278,$L$2:$N$61,3,FALSE)</f>
        <v/>
      </c>
      <c r="Q278" s="6">
        <f>IF(P278&gt;2.5,1,0)</f>
        <v/>
      </c>
      <c r="R278" s="6">
        <f>IF(G278&gt;4,1,0)</f>
        <v/>
      </c>
      <c r="S278" s="6">
        <f>IF(AND(F278=1,P278&gt;0.5),1,0)</f>
        <v/>
      </c>
      <c r="T278" s="6">
        <f>IF(AND(OR(E278&gt;=23,E278&lt;=5),P278&gt;0),1,0)</f>
        <v/>
      </c>
      <c r="U278" s="6">
        <f>IF(H278=1,1,0)</f>
        <v/>
      </c>
      <c r="V278" s="6">
        <f>IF(I278&gt;=3,1,0)</f>
        <v/>
      </c>
      <c r="W278" s="6">
        <f>Q278*20+R278*15+S278*30+T278*15+U278*25+V278*20</f>
        <v/>
      </c>
      <c r="X278" s="6">
        <f>IF(W278&gt;=40,"REVIEW","OK")</f>
        <v/>
      </c>
    </row>
    <row r="279">
      <c r="A279" s="6" t="inlineStr">
        <is>
          <t>TXN-00278</t>
        </is>
      </c>
      <c r="B279" s="6" t="inlineStr">
        <is>
          <t>ACC-0031</t>
        </is>
      </c>
      <c r="C279" s="6" t="inlineStr">
        <is>
          <t>P2P Transfer</t>
        </is>
      </c>
      <c r="D279" s="6" t="n">
        <v>7355</v>
      </c>
      <c r="E279" s="6" t="n">
        <v>11</v>
      </c>
      <c r="F279" s="6" t="n">
        <v>1</v>
      </c>
      <c r="G279" s="6" t="n">
        <v>1</v>
      </c>
      <c r="H279" s="6" t="n">
        <v>0</v>
      </c>
      <c r="I279" s="6" t="n">
        <v>0</v>
      </c>
      <c r="J279" s="6" t="n">
        <v>0</v>
      </c>
      <c r="P279" s="7">
        <f>(D279-VLOOKUP(B279,$L$2:$N$61,2,FALSE))/VLOOKUP(B279,$L$2:$N$61,3,FALSE)</f>
        <v/>
      </c>
      <c r="Q279" s="6">
        <f>IF(P279&gt;2.5,1,0)</f>
        <v/>
      </c>
      <c r="R279" s="6">
        <f>IF(G279&gt;4,1,0)</f>
        <v/>
      </c>
      <c r="S279" s="6">
        <f>IF(AND(F279=1,P279&gt;0.5),1,0)</f>
        <v/>
      </c>
      <c r="T279" s="6">
        <f>IF(AND(OR(E279&gt;=23,E279&lt;=5),P279&gt;0),1,0)</f>
        <v/>
      </c>
      <c r="U279" s="6">
        <f>IF(H279=1,1,0)</f>
        <v/>
      </c>
      <c r="V279" s="6">
        <f>IF(I279&gt;=3,1,0)</f>
        <v/>
      </c>
      <c r="W279" s="6">
        <f>Q279*20+R279*15+S279*30+T279*15+U279*25+V279*20</f>
        <v/>
      </c>
      <c r="X279" s="6">
        <f>IF(W279&gt;=40,"REVIEW","OK")</f>
        <v/>
      </c>
    </row>
    <row r="280">
      <c r="A280" s="6" t="inlineStr">
        <is>
          <t>TXN-00279</t>
        </is>
      </c>
      <c r="B280" s="6" t="inlineStr">
        <is>
          <t>ACC-0009</t>
        </is>
      </c>
      <c r="C280" s="6" t="inlineStr">
        <is>
          <t>P2P Transfer</t>
        </is>
      </c>
      <c r="D280" s="6" t="n">
        <v>2136</v>
      </c>
      <c r="E280" s="6" t="n">
        <v>17</v>
      </c>
      <c r="F280" s="6" t="n">
        <v>0</v>
      </c>
      <c r="G280" s="6" t="n">
        <v>2</v>
      </c>
      <c r="H280" s="6" t="n">
        <v>0</v>
      </c>
      <c r="I280" s="6" t="n">
        <v>0</v>
      </c>
      <c r="J280" s="6" t="n">
        <v>0</v>
      </c>
      <c r="P280" s="7">
        <f>(D280-VLOOKUP(B280,$L$2:$N$61,2,FALSE))/VLOOKUP(B280,$L$2:$N$61,3,FALSE)</f>
        <v/>
      </c>
      <c r="Q280" s="6">
        <f>IF(P280&gt;2.5,1,0)</f>
        <v/>
      </c>
      <c r="R280" s="6">
        <f>IF(G280&gt;4,1,0)</f>
        <v/>
      </c>
      <c r="S280" s="6">
        <f>IF(AND(F280=1,P280&gt;0.5),1,0)</f>
        <v/>
      </c>
      <c r="T280" s="6">
        <f>IF(AND(OR(E280&gt;=23,E280&lt;=5),P280&gt;0),1,0)</f>
        <v/>
      </c>
      <c r="U280" s="6">
        <f>IF(H280=1,1,0)</f>
        <v/>
      </c>
      <c r="V280" s="6">
        <f>IF(I280&gt;=3,1,0)</f>
        <v/>
      </c>
      <c r="W280" s="6">
        <f>Q280*20+R280*15+S280*30+T280*15+U280*25+V280*20</f>
        <v/>
      </c>
      <c r="X280" s="6">
        <f>IF(W280&gt;=40,"REVIEW","OK")</f>
        <v/>
      </c>
    </row>
    <row r="281">
      <c r="A281" s="6" t="inlineStr">
        <is>
          <t>TXN-00280</t>
        </is>
      </c>
      <c r="B281" s="6" t="inlineStr">
        <is>
          <t>ACC-0039</t>
        </is>
      </c>
      <c r="C281" s="6" t="inlineStr">
        <is>
          <t>Bill Payment</t>
        </is>
      </c>
      <c r="D281" s="6" t="n">
        <v>10243</v>
      </c>
      <c r="E281" s="6" t="n">
        <v>20</v>
      </c>
      <c r="F281" s="6" t="n">
        <v>0</v>
      </c>
      <c r="G281" s="6" t="n">
        <v>5</v>
      </c>
      <c r="H281" s="6" t="n">
        <v>0</v>
      </c>
      <c r="I281" s="6" t="n">
        <v>0</v>
      </c>
      <c r="J281" s="6" t="n">
        <v>0</v>
      </c>
      <c r="P281" s="7">
        <f>(D281-VLOOKUP(B281,$L$2:$N$61,2,FALSE))/VLOOKUP(B281,$L$2:$N$61,3,FALSE)</f>
        <v/>
      </c>
      <c r="Q281" s="6">
        <f>IF(P281&gt;2.5,1,0)</f>
        <v/>
      </c>
      <c r="R281" s="6">
        <f>IF(G281&gt;4,1,0)</f>
        <v/>
      </c>
      <c r="S281" s="6">
        <f>IF(AND(F281=1,P281&gt;0.5),1,0)</f>
        <v/>
      </c>
      <c r="T281" s="6">
        <f>IF(AND(OR(E281&gt;=23,E281&lt;=5),P281&gt;0),1,0)</f>
        <v/>
      </c>
      <c r="U281" s="6">
        <f>IF(H281=1,1,0)</f>
        <v/>
      </c>
      <c r="V281" s="6">
        <f>IF(I281&gt;=3,1,0)</f>
        <v/>
      </c>
      <c r="W281" s="6">
        <f>Q281*20+R281*15+S281*30+T281*15+U281*25+V281*20</f>
        <v/>
      </c>
      <c r="X281" s="6">
        <f>IF(W281&gt;=40,"REVIEW","OK")</f>
        <v/>
      </c>
    </row>
    <row r="282">
      <c r="A282" s="6" t="inlineStr">
        <is>
          <t>TXN-00281</t>
        </is>
      </c>
      <c r="B282" s="6" t="inlineStr">
        <is>
          <t>ACC-0046</t>
        </is>
      </c>
      <c r="C282" s="6" t="inlineStr">
        <is>
          <t>Bill Payment</t>
        </is>
      </c>
      <c r="D282" s="6" t="n">
        <v>16771</v>
      </c>
      <c r="E282" s="6" t="n">
        <v>5</v>
      </c>
      <c r="F282" s="6" t="n">
        <v>0</v>
      </c>
      <c r="G282" s="6" t="n">
        <v>2</v>
      </c>
      <c r="H282" s="6" t="n">
        <v>0</v>
      </c>
      <c r="I282" s="6" t="n">
        <v>1</v>
      </c>
      <c r="J282" s="6" t="n">
        <v>0</v>
      </c>
      <c r="P282" s="7">
        <f>(D282-VLOOKUP(B282,$L$2:$N$61,2,FALSE))/VLOOKUP(B282,$L$2:$N$61,3,FALSE)</f>
        <v/>
      </c>
      <c r="Q282" s="6">
        <f>IF(P282&gt;2.5,1,0)</f>
        <v/>
      </c>
      <c r="R282" s="6">
        <f>IF(G282&gt;4,1,0)</f>
        <v/>
      </c>
      <c r="S282" s="6">
        <f>IF(AND(F282=1,P282&gt;0.5),1,0)</f>
        <v/>
      </c>
      <c r="T282" s="6">
        <f>IF(AND(OR(E282&gt;=23,E282&lt;=5),P282&gt;0),1,0)</f>
        <v/>
      </c>
      <c r="U282" s="6">
        <f>IF(H282=1,1,0)</f>
        <v/>
      </c>
      <c r="V282" s="6">
        <f>IF(I282&gt;=3,1,0)</f>
        <v/>
      </c>
      <c r="W282" s="6">
        <f>Q282*20+R282*15+S282*30+T282*15+U282*25+V282*20</f>
        <v/>
      </c>
      <c r="X282" s="6">
        <f>IF(W282&gt;=40,"REVIEW","OK")</f>
        <v/>
      </c>
    </row>
    <row r="283">
      <c r="A283" s="6" t="inlineStr">
        <is>
          <t>TXN-00282</t>
        </is>
      </c>
      <c r="B283" s="6" t="inlineStr">
        <is>
          <t>ACC-0032</t>
        </is>
      </c>
      <c r="C283" s="6" t="inlineStr">
        <is>
          <t>Airtime Top-up</t>
        </is>
      </c>
      <c r="D283" s="6" t="n">
        <v>5164</v>
      </c>
      <c r="E283" s="6" t="n">
        <v>11</v>
      </c>
      <c r="F283" s="6" t="n">
        <v>0</v>
      </c>
      <c r="G283" s="6" t="n">
        <v>2</v>
      </c>
      <c r="H283" s="6" t="n">
        <v>0</v>
      </c>
      <c r="I283" s="6" t="n">
        <v>2</v>
      </c>
      <c r="J283" s="6" t="n">
        <v>0</v>
      </c>
      <c r="P283" s="7">
        <f>(D283-VLOOKUP(B283,$L$2:$N$61,2,FALSE))/VLOOKUP(B283,$L$2:$N$61,3,FALSE)</f>
        <v/>
      </c>
      <c r="Q283" s="6">
        <f>IF(P283&gt;2.5,1,0)</f>
        <v/>
      </c>
      <c r="R283" s="6">
        <f>IF(G283&gt;4,1,0)</f>
        <v/>
      </c>
      <c r="S283" s="6">
        <f>IF(AND(F283=1,P283&gt;0.5),1,0)</f>
        <v/>
      </c>
      <c r="T283" s="6">
        <f>IF(AND(OR(E283&gt;=23,E283&lt;=5),P283&gt;0),1,0)</f>
        <v/>
      </c>
      <c r="U283" s="6">
        <f>IF(H283=1,1,0)</f>
        <v/>
      </c>
      <c r="V283" s="6">
        <f>IF(I283&gt;=3,1,0)</f>
        <v/>
      </c>
      <c r="W283" s="6">
        <f>Q283*20+R283*15+S283*30+T283*15+U283*25+V283*20</f>
        <v/>
      </c>
      <c r="X283" s="6">
        <f>IF(W283&gt;=40,"REVIEW","OK")</f>
        <v/>
      </c>
    </row>
    <row r="284">
      <c r="A284" s="6" t="inlineStr">
        <is>
          <t>TXN-00283</t>
        </is>
      </c>
      <c r="B284" s="6" t="inlineStr">
        <is>
          <t>ACC-0048</t>
        </is>
      </c>
      <c r="C284" s="6" t="inlineStr">
        <is>
          <t>Merchant Payment</t>
        </is>
      </c>
      <c r="D284" s="6" t="n">
        <v>9819</v>
      </c>
      <c r="E284" s="6" t="n">
        <v>8</v>
      </c>
      <c r="F284" s="6" t="n">
        <v>0</v>
      </c>
      <c r="G284" s="6" t="n">
        <v>1</v>
      </c>
      <c r="H284" s="6" t="n">
        <v>0</v>
      </c>
      <c r="I284" s="6" t="n">
        <v>0</v>
      </c>
      <c r="J284" s="6" t="n">
        <v>0</v>
      </c>
      <c r="P284" s="7">
        <f>(D284-VLOOKUP(B284,$L$2:$N$61,2,FALSE))/VLOOKUP(B284,$L$2:$N$61,3,FALSE)</f>
        <v/>
      </c>
      <c r="Q284" s="6">
        <f>IF(P284&gt;2.5,1,0)</f>
        <v/>
      </c>
      <c r="R284" s="6">
        <f>IF(G284&gt;4,1,0)</f>
        <v/>
      </c>
      <c r="S284" s="6">
        <f>IF(AND(F284=1,P284&gt;0.5),1,0)</f>
        <v/>
      </c>
      <c r="T284" s="6">
        <f>IF(AND(OR(E284&gt;=23,E284&lt;=5),P284&gt;0),1,0)</f>
        <v/>
      </c>
      <c r="U284" s="6">
        <f>IF(H284=1,1,0)</f>
        <v/>
      </c>
      <c r="V284" s="6">
        <f>IF(I284&gt;=3,1,0)</f>
        <v/>
      </c>
      <c r="W284" s="6">
        <f>Q284*20+R284*15+S284*30+T284*15+U284*25+V284*20</f>
        <v/>
      </c>
      <c r="X284" s="6">
        <f>IF(W284&gt;=40,"REVIEW","OK")</f>
        <v/>
      </c>
    </row>
    <row r="285">
      <c r="A285" s="6" t="inlineStr">
        <is>
          <t>TXN-00284</t>
        </is>
      </c>
      <c r="B285" s="6" t="inlineStr">
        <is>
          <t>ACC-0038</t>
        </is>
      </c>
      <c r="C285" s="6" t="inlineStr">
        <is>
          <t>Airtime Top-up</t>
        </is>
      </c>
      <c r="D285" s="6" t="n">
        <v>16561</v>
      </c>
      <c r="E285" s="6" t="n">
        <v>11</v>
      </c>
      <c r="F285" s="6" t="n">
        <v>0</v>
      </c>
      <c r="G285" s="6" t="n">
        <v>4</v>
      </c>
      <c r="H285" s="6" t="n">
        <v>0</v>
      </c>
      <c r="I285" s="6" t="n">
        <v>0</v>
      </c>
      <c r="J285" s="6" t="n">
        <v>0</v>
      </c>
      <c r="P285" s="7">
        <f>(D285-VLOOKUP(B285,$L$2:$N$61,2,FALSE))/VLOOKUP(B285,$L$2:$N$61,3,FALSE)</f>
        <v/>
      </c>
      <c r="Q285" s="6">
        <f>IF(P285&gt;2.5,1,0)</f>
        <v/>
      </c>
      <c r="R285" s="6">
        <f>IF(G285&gt;4,1,0)</f>
        <v/>
      </c>
      <c r="S285" s="6">
        <f>IF(AND(F285=1,P285&gt;0.5),1,0)</f>
        <v/>
      </c>
      <c r="T285" s="6">
        <f>IF(AND(OR(E285&gt;=23,E285&lt;=5),P285&gt;0),1,0)</f>
        <v/>
      </c>
      <c r="U285" s="6">
        <f>IF(H285=1,1,0)</f>
        <v/>
      </c>
      <c r="V285" s="6">
        <f>IF(I285&gt;=3,1,0)</f>
        <v/>
      </c>
      <c r="W285" s="6">
        <f>Q285*20+R285*15+S285*30+T285*15+U285*25+V285*20</f>
        <v/>
      </c>
      <c r="X285" s="6">
        <f>IF(W285&gt;=40,"REVIEW","OK")</f>
        <v/>
      </c>
    </row>
    <row r="286">
      <c r="A286" s="6" t="inlineStr">
        <is>
          <t>TXN-00285</t>
        </is>
      </c>
      <c r="B286" s="6" t="inlineStr">
        <is>
          <t>ACC-0025</t>
        </is>
      </c>
      <c r="C286" s="6" t="inlineStr">
        <is>
          <t>P2P Transfer</t>
        </is>
      </c>
      <c r="D286" s="6" t="n">
        <v>3842</v>
      </c>
      <c r="E286" s="6" t="n">
        <v>20</v>
      </c>
      <c r="F286" s="6" t="n">
        <v>1</v>
      </c>
      <c r="G286" s="6" t="n">
        <v>1</v>
      </c>
      <c r="H286" s="6" t="n">
        <v>0</v>
      </c>
      <c r="I286" s="6" t="n">
        <v>3</v>
      </c>
      <c r="J286" s="6" t="n">
        <v>0</v>
      </c>
      <c r="P286" s="7">
        <f>(D286-VLOOKUP(B286,$L$2:$N$61,2,FALSE))/VLOOKUP(B286,$L$2:$N$61,3,FALSE)</f>
        <v/>
      </c>
      <c r="Q286" s="6">
        <f>IF(P286&gt;2.5,1,0)</f>
        <v/>
      </c>
      <c r="R286" s="6">
        <f>IF(G286&gt;4,1,0)</f>
        <v/>
      </c>
      <c r="S286" s="6">
        <f>IF(AND(F286=1,P286&gt;0.5),1,0)</f>
        <v/>
      </c>
      <c r="T286" s="6">
        <f>IF(AND(OR(E286&gt;=23,E286&lt;=5),P286&gt;0),1,0)</f>
        <v/>
      </c>
      <c r="U286" s="6">
        <f>IF(H286=1,1,0)</f>
        <v/>
      </c>
      <c r="V286" s="6">
        <f>IF(I286&gt;=3,1,0)</f>
        <v/>
      </c>
      <c r="W286" s="6">
        <f>Q286*20+R286*15+S286*30+T286*15+U286*25+V286*20</f>
        <v/>
      </c>
      <c r="X286" s="6">
        <f>IF(W286&gt;=40,"REVIEW","OK")</f>
        <v/>
      </c>
    </row>
    <row r="287">
      <c r="A287" s="6" t="inlineStr">
        <is>
          <t>TXN-00286</t>
        </is>
      </c>
      <c r="B287" s="6" t="inlineStr">
        <is>
          <t>ACC-0021</t>
        </is>
      </c>
      <c r="C287" s="6" t="inlineStr">
        <is>
          <t>Merchant Payment</t>
        </is>
      </c>
      <c r="D287" s="6" t="n">
        <v>9147</v>
      </c>
      <c r="E287" s="6" t="n">
        <v>22</v>
      </c>
      <c r="F287" s="6" t="n">
        <v>0</v>
      </c>
      <c r="G287" s="6" t="n">
        <v>2</v>
      </c>
      <c r="H287" s="6" t="n">
        <v>0</v>
      </c>
      <c r="I287" s="6" t="n">
        <v>0</v>
      </c>
      <c r="J287" s="6" t="n">
        <v>0</v>
      </c>
      <c r="P287" s="7">
        <f>(D287-VLOOKUP(B287,$L$2:$N$61,2,FALSE))/VLOOKUP(B287,$L$2:$N$61,3,FALSE)</f>
        <v/>
      </c>
      <c r="Q287" s="6">
        <f>IF(P287&gt;2.5,1,0)</f>
        <v/>
      </c>
      <c r="R287" s="6">
        <f>IF(G287&gt;4,1,0)</f>
        <v/>
      </c>
      <c r="S287" s="6">
        <f>IF(AND(F287=1,P287&gt;0.5),1,0)</f>
        <v/>
      </c>
      <c r="T287" s="6">
        <f>IF(AND(OR(E287&gt;=23,E287&lt;=5),P287&gt;0),1,0)</f>
        <v/>
      </c>
      <c r="U287" s="6">
        <f>IF(H287=1,1,0)</f>
        <v/>
      </c>
      <c r="V287" s="6">
        <f>IF(I287&gt;=3,1,0)</f>
        <v/>
      </c>
      <c r="W287" s="6">
        <f>Q287*20+R287*15+S287*30+T287*15+U287*25+V287*20</f>
        <v/>
      </c>
      <c r="X287" s="6">
        <f>IF(W287&gt;=40,"REVIEW","OK")</f>
        <v/>
      </c>
    </row>
    <row r="288">
      <c r="A288" s="6" t="inlineStr">
        <is>
          <t>TXN-00287</t>
        </is>
      </c>
      <c r="B288" s="6" t="inlineStr">
        <is>
          <t>ACC-0028</t>
        </is>
      </c>
      <c r="C288" s="6" t="inlineStr">
        <is>
          <t>Merchant Payment</t>
        </is>
      </c>
      <c r="D288" s="6" t="n">
        <v>4098</v>
      </c>
      <c r="E288" s="6" t="n">
        <v>9</v>
      </c>
      <c r="F288" s="6" t="n">
        <v>0</v>
      </c>
      <c r="G288" s="6" t="n">
        <v>1</v>
      </c>
      <c r="H288" s="6" t="n">
        <v>0</v>
      </c>
      <c r="I288" s="6" t="n">
        <v>0</v>
      </c>
      <c r="J288" s="6" t="n">
        <v>0</v>
      </c>
      <c r="P288" s="7">
        <f>(D288-VLOOKUP(B288,$L$2:$N$61,2,FALSE))/VLOOKUP(B288,$L$2:$N$61,3,FALSE)</f>
        <v/>
      </c>
      <c r="Q288" s="6">
        <f>IF(P288&gt;2.5,1,0)</f>
        <v/>
      </c>
      <c r="R288" s="6">
        <f>IF(G288&gt;4,1,0)</f>
        <v/>
      </c>
      <c r="S288" s="6">
        <f>IF(AND(F288=1,P288&gt;0.5),1,0)</f>
        <v/>
      </c>
      <c r="T288" s="6">
        <f>IF(AND(OR(E288&gt;=23,E288&lt;=5),P288&gt;0),1,0)</f>
        <v/>
      </c>
      <c r="U288" s="6">
        <f>IF(H288=1,1,0)</f>
        <v/>
      </c>
      <c r="V288" s="6">
        <f>IF(I288&gt;=3,1,0)</f>
        <v/>
      </c>
      <c r="W288" s="6">
        <f>Q288*20+R288*15+S288*30+T288*15+U288*25+V288*20</f>
        <v/>
      </c>
      <c r="X288" s="6">
        <f>IF(W288&gt;=40,"REVIEW","OK")</f>
        <v/>
      </c>
    </row>
    <row r="289">
      <c r="A289" s="6" t="inlineStr">
        <is>
          <t>TXN-00288</t>
        </is>
      </c>
      <c r="B289" s="6" t="inlineStr">
        <is>
          <t>ACC-0048</t>
        </is>
      </c>
      <c r="C289" s="6" t="inlineStr">
        <is>
          <t>Cash Withdrawal (Agent)</t>
        </is>
      </c>
      <c r="D289" s="6" t="n">
        <v>8897</v>
      </c>
      <c r="E289" s="6" t="n">
        <v>7</v>
      </c>
      <c r="F289" s="6" t="n">
        <v>1</v>
      </c>
      <c r="G289" s="6" t="n">
        <v>5</v>
      </c>
      <c r="H289" s="6" t="n">
        <v>1</v>
      </c>
      <c r="I289" s="6" t="n">
        <v>0</v>
      </c>
      <c r="J289" s="6" t="n">
        <v>0</v>
      </c>
      <c r="P289" s="7">
        <f>(D289-VLOOKUP(B289,$L$2:$N$61,2,FALSE))/VLOOKUP(B289,$L$2:$N$61,3,FALSE)</f>
        <v/>
      </c>
      <c r="Q289" s="6">
        <f>IF(P289&gt;2.5,1,0)</f>
        <v/>
      </c>
      <c r="R289" s="6">
        <f>IF(G289&gt;4,1,0)</f>
        <v/>
      </c>
      <c r="S289" s="6">
        <f>IF(AND(F289=1,P289&gt;0.5),1,0)</f>
        <v/>
      </c>
      <c r="T289" s="6">
        <f>IF(AND(OR(E289&gt;=23,E289&lt;=5),P289&gt;0),1,0)</f>
        <v/>
      </c>
      <c r="U289" s="6">
        <f>IF(H289=1,1,0)</f>
        <v/>
      </c>
      <c r="V289" s="6">
        <f>IF(I289&gt;=3,1,0)</f>
        <v/>
      </c>
      <c r="W289" s="6">
        <f>Q289*20+R289*15+S289*30+T289*15+U289*25+V289*20</f>
        <v/>
      </c>
      <c r="X289" s="6">
        <f>IF(W289&gt;=40,"REVIEW","OK")</f>
        <v/>
      </c>
    </row>
    <row r="290">
      <c r="A290" s="6" t="inlineStr">
        <is>
          <t>TXN-00289</t>
        </is>
      </c>
      <c r="B290" s="6" t="inlineStr">
        <is>
          <t>ACC-0028</t>
        </is>
      </c>
      <c r="C290" s="6" t="inlineStr">
        <is>
          <t>Merchant Payment</t>
        </is>
      </c>
      <c r="D290" s="6" t="n">
        <v>5678</v>
      </c>
      <c r="E290" s="6" t="n">
        <v>13</v>
      </c>
      <c r="F290" s="6" t="n">
        <v>0</v>
      </c>
      <c r="G290" s="6" t="n">
        <v>2</v>
      </c>
      <c r="H290" s="6" t="n">
        <v>0</v>
      </c>
      <c r="I290" s="6" t="n">
        <v>0</v>
      </c>
      <c r="J290" s="6" t="n">
        <v>0</v>
      </c>
      <c r="P290" s="7">
        <f>(D290-VLOOKUP(B290,$L$2:$N$61,2,FALSE))/VLOOKUP(B290,$L$2:$N$61,3,FALSE)</f>
        <v/>
      </c>
      <c r="Q290" s="6">
        <f>IF(P290&gt;2.5,1,0)</f>
        <v/>
      </c>
      <c r="R290" s="6">
        <f>IF(G290&gt;4,1,0)</f>
        <v/>
      </c>
      <c r="S290" s="6">
        <f>IF(AND(F290=1,P290&gt;0.5),1,0)</f>
        <v/>
      </c>
      <c r="T290" s="6">
        <f>IF(AND(OR(E290&gt;=23,E290&lt;=5),P290&gt;0),1,0)</f>
        <v/>
      </c>
      <c r="U290" s="6">
        <f>IF(H290=1,1,0)</f>
        <v/>
      </c>
      <c r="V290" s="6">
        <f>IF(I290&gt;=3,1,0)</f>
        <v/>
      </c>
      <c r="W290" s="6">
        <f>Q290*20+R290*15+S290*30+T290*15+U290*25+V290*20</f>
        <v/>
      </c>
      <c r="X290" s="6">
        <f>IF(W290&gt;=40,"REVIEW","OK")</f>
        <v/>
      </c>
    </row>
    <row r="291">
      <c r="A291" s="6" t="inlineStr">
        <is>
          <t>TXN-00290</t>
        </is>
      </c>
      <c r="B291" s="6" t="inlineStr">
        <is>
          <t>ACC-0039</t>
        </is>
      </c>
      <c r="C291" s="6" t="inlineStr">
        <is>
          <t>P2P Transfer</t>
        </is>
      </c>
      <c r="D291" s="6" t="n">
        <v>9207</v>
      </c>
      <c r="E291" s="6" t="n">
        <v>18</v>
      </c>
      <c r="F291" s="6" t="n">
        <v>1</v>
      </c>
      <c r="G291" s="6" t="n">
        <v>1</v>
      </c>
      <c r="H291" s="6" t="n">
        <v>0</v>
      </c>
      <c r="I291" s="6" t="n">
        <v>0</v>
      </c>
      <c r="J291" s="6" t="n">
        <v>0</v>
      </c>
      <c r="P291" s="7">
        <f>(D291-VLOOKUP(B291,$L$2:$N$61,2,FALSE))/VLOOKUP(B291,$L$2:$N$61,3,FALSE)</f>
        <v/>
      </c>
      <c r="Q291" s="6">
        <f>IF(P291&gt;2.5,1,0)</f>
        <v/>
      </c>
      <c r="R291" s="6">
        <f>IF(G291&gt;4,1,0)</f>
        <v/>
      </c>
      <c r="S291" s="6">
        <f>IF(AND(F291=1,P291&gt;0.5),1,0)</f>
        <v/>
      </c>
      <c r="T291" s="6">
        <f>IF(AND(OR(E291&gt;=23,E291&lt;=5),P291&gt;0),1,0)</f>
        <v/>
      </c>
      <c r="U291" s="6">
        <f>IF(H291=1,1,0)</f>
        <v/>
      </c>
      <c r="V291" s="6">
        <f>IF(I291&gt;=3,1,0)</f>
        <v/>
      </c>
      <c r="W291" s="6">
        <f>Q291*20+R291*15+S291*30+T291*15+U291*25+V291*20</f>
        <v/>
      </c>
      <c r="X291" s="6">
        <f>IF(W291&gt;=40,"REVIEW","OK")</f>
        <v/>
      </c>
    </row>
    <row r="292">
      <c r="A292" s="6" t="inlineStr">
        <is>
          <t>TXN-00291</t>
        </is>
      </c>
      <c r="B292" s="6" t="inlineStr">
        <is>
          <t>ACC-0002</t>
        </is>
      </c>
      <c r="C292" s="6" t="inlineStr">
        <is>
          <t>P2P Transfer</t>
        </is>
      </c>
      <c r="D292" s="6" t="n">
        <v>16430</v>
      </c>
      <c r="E292" s="6" t="n">
        <v>18</v>
      </c>
      <c r="F292" s="6" t="n">
        <v>1</v>
      </c>
      <c r="G292" s="6" t="n">
        <v>1</v>
      </c>
      <c r="H292" s="6" t="n">
        <v>0</v>
      </c>
      <c r="I292" s="6" t="n">
        <v>0</v>
      </c>
      <c r="J292" s="6" t="n">
        <v>0</v>
      </c>
      <c r="P292" s="7">
        <f>(D292-VLOOKUP(B292,$L$2:$N$61,2,FALSE))/VLOOKUP(B292,$L$2:$N$61,3,FALSE)</f>
        <v/>
      </c>
      <c r="Q292" s="6">
        <f>IF(P292&gt;2.5,1,0)</f>
        <v/>
      </c>
      <c r="R292" s="6">
        <f>IF(G292&gt;4,1,0)</f>
        <v/>
      </c>
      <c r="S292" s="6">
        <f>IF(AND(F292=1,P292&gt;0.5),1,0)</f>
        <v/>
      </c>
      <c r="T292" s="6">
        <f>IF(AND(OR(E292&gt;=23,E292&lt;=5),P292&gt;0),1,0)</f>
        <v/>
      </c>
      <c r="U292" s="6">
        <f>IF(H292=1,1,0)</f>
        <v/>
      </c>
      <c r="V292" s="6">
        <f>IF(I292&gt;=3,1,0)</f>
        <v/>
      </c>
      <c r="W292" s="6">
        <f>Q292*20+R292*15+S292*30+T292*15+U292*25+V292*20</f>
        <v/>
      </c>
      <c r="X292" s="6">
        <f>IF(W292&gt;=40,"REVIEW","OK")</f>
        <v/>
      </c>
    </row>
    <row r="293">
      <c r="A293" s="6" t="inlineStr">
        <is>
          <t>TXN-00292</t>
        </is>
      </c>
      <c r="B293" s="6" t="inlineStr">
        <is>
          <t>ACC-0001</t>
        </is>
      </c>
      <c r="C293" s="6" t="inlineStr">
        <is>
          <t>Bill Payment</t>
        </is>
      </c>
      <c r="D293" s="6" t="n">
        <v>13681</v>
      </c>
      <c r="E293" s="6" t="n">
        <v>10</v>
      </c>
      <c r="F293" s="6" t="n">
        <v>0</v>
      </c>
      <c r="G293" s="6" t="n">
        <v>2</v>
      </c>
      <c r="H293" s="6" t="n">
        <v>0</v>
      </c>
      <c r="I293" s="6" t="n">
        <v>3</v>
      </c>
      <c r="J293" s="6" t="n">
        <v>1</v>
      </c>
      <c r="P293" s="7">
        <f>(D293-VLOOKUP(B293,$L$2:$N$61,2,FALSE))/VLOOKUP(B293,$L$2:$N$61,3,FALSE)</f>
        <v/>
      </c>
      <c r="Q293" s="6">
        <f>IF(P293&gt;2.5,1,0)</f>
        <v/>
      </c>
      <c r="R293" s="6">
        <f>IF(G293&gt;4,1,0)</f>
        <v/>
      </c>
      <c r="S293" s="6">
        <f>IF(AND(F293=1,P293&gt;0.5),1,0)</f>
        <v/>
      </c>
      <c r="T293" s="6">
        <f>IF(AND(OR(E293&gt;=23,E293&lt;=5),P293&gt;0),1,0)</f>
        <v/>
      </c>
      <c r="U293" s="6">
        <f>IF(H293=1,1,0)</f>
        <v/>
      </c>
      <c r="V293" s="6">
        <f>IF(I293&gt;=3,1,0)</f>
        <v/>
      </c>
      <c r="W293" s="6">
        <f>Q293*20+R293*15+S293*30+T293*15+U293*25+V293*20</f>
        <v/>
      </c>
      <c r="X293" s="6">
        <f>IF(W293&gt;=40,"REVIEW","OK")</f>
        <v/>
      </c>
    </row>
    <row r="294">
      <c r="A294" s="6" t="inlineStr">
        <is>
          <t>TXN-00293</t>
        </is>
      </c>
      <c r="B294" s="6" t="inlineStr">
        <is>
          <t>ACC-0034</t>
        </is>
      </c>
      <c r="C294" s="6" t="inlineStr">
        <is>
          <t>Airtime Top-up</t>
        </is>
      </c>
      <c r="D294" s="6" t="n">
        <v>14914</v>
      </c>
      <c r="E294" s="6" t="n">
        <v>13</v>
      </c>
      <c r="F294" s="6" t="n">
        <v>0</v>
      </c>
      <c r="G294" s="6" t="n">
        <v>2</v>
      </c>
      <c r="H294" s="6" t="n">
        <v>0</v>
      </c>
      <c r="I294" s="6" t="n">
        <v>0</v>
      </c>
      <c r="J294" s="6" t="n">
        <v>0</v>
      </c>
      <c r="P294" s="7">
        <f>(D294-VLOOKUP(B294,$L$2:$N$61,2,FALSE))/VLOOKUP(B294,$L$2:$N$61,3,FALSE)</f>
        <v/>
      </c>
      <c r="Q294" s="6">
        <f>IF(P294&gt;2.5,1,0)</f>
        <v/>
      </c>
      <c r="R294" s="6">
        <f>IF(G294&gt;4,1,0)</f>
        <v/>
      </c>
      <c r="S294" s="6">
        <f>IF(AND(F294=1,P294&gt;0.5),1,0)</f>
        <v/>
      </c>
      <c r="T294" s="6">
        <f>IF(AND(OR(E294&gt;=23,E294&lt;=5),P294&gt;0),1,0)</f>
        <v/>
      </c>
      <c r="U294" s="6">
        <f>IF(H294=1,1,0)</f>
        <v/>
      </c>
      <c r="V294" s="6">
        <f>IF(I294&gt;=3,1,0)</f>
        <v/>
      </c>
      <c r="W294" s="6">
        <f>Q294*20+R294*15+S294*30+T294*15+U294*25+V294*20</f>
        <v/>
      </c>
      <c r="X294" s="6">
        <f>IF(W294&gt;=40,"REVIEW","OK")</f>
        <v/>
      </c>
    </row>
    <row r="295">
      <c r="A295" s="6" t="inlineStr">
        <is>
          <t>TXN-00294</t>
        </is>
      </c>
      <c r="B295" s="6" t="inlineStr">
        <is>
          <t>ACC-0012</t>
        </is>
      </c>
      <c r="C295" s="6" t="inlineStr">
        <is>
          <t>Bill Payment</t>
        </is>
      </c>
      <c r="D295" s="6" t="n">
        <v>9135</v>
      </c>
      <c r="E295" s="6" t="n">
        <v>3</v>
      </c>
      <c r="F295" s="6" t="n">
        <v>0</v>
      </c>
      <c r="G295" s="6" t="n">
        <v>1</v>
      </c>
      <c r="H295" s="6" t="n">
        <v>0</v>
      </c>
      <c r="I295" s="6" t="n">
        <v>0</v>
      </c>
      <c r="J295" s="6" t="n">
        <v>0</v>
      </c>
      <c r="P295" s="7">
        <f>(D295-VLOOKUP(B295,$L$2:$N$61,2,FALSE))/VLOOKUP(B295,$L$2:$N$61,3,FALSE)</f>
        <v/>
      </c>
      <c r="Q295" s="6">
        <f>IF(P295&gt;2.5,1,0)</f>
        <v/>
      </c>
      <c r="R295" s="6">
        <f>IF(G295&gt;4,1,0)</f>
        <v/>
      </c>
      <c r="S295" s="6">
        <f>IF(AND(F295=1,P295&gt;0.5),1,0)</f>
        <v/>
      </c>
      <c r="T295" s="6">
        <f>IF(AND(OR(E295&gt;=23,E295&lt;=5),P295&gt;0),1,0)</f>
        <v/>
      </c>
      <c r="U295" s="6">
        <f>IF(H295=1,1,0)</f>
        <v/>
      </c>
      <c r="V295" s="6">
        <f>IF(I295&gt;=3,1,0)</f>
        <v/>
      </c>
      <c r="W295" s="6">
        <f>Q295*20+R295*15+S295*30+T295*15+U295*25+V295*20</f>
        <v/>
      </c>
      <c r="X295" s="6">
        <f>IF(W295&gt;=40,"REVIEW","OK")</f>
        <v/>
      </c>
    </row>
    <row r="296">
      <c r="A296" s="6" t="inlineStr">
        <is>
          <t>TXN-00295</t>
        </is>
      </c>
      <c r="B296" s="6" t="inlineStr">
        <is>
          <t>ACC-0050</t>
        </is>
      </c>
      <c r="C296" s="6" t="inlineStr">
        <is>
          <t>Bill Payment</t>
        </is>
      </c>
      <c r="D296" s="6" t="n">
        <v>1556</v>
      </c>
      <c r="E296" s="6" t="n">
        <v>0</v>
      </c>
      <c r="F296" s="6" t="n">
        <v>0</v>
      </c>
      <c r="G296" s="6" t="n">
        <v>1</v>
      </c>
      <c r="H296" s="6" t="n">
        <v>0</v>
      </c>
      <c r="I296" s="6" t="n">
        <v>0</v>
      </c>
      <c r="J296" s="6" t="n">
        <v>0</v>
      </c>
      <c r="P296" s="7">
        <f>(D296-VLOOKUP(B296,$L$2:$N$61,2,FALSE))/VLOOKUP(B296,$L$2:$N$61,3,FALSE)</f>
        <v/>
      </c>
      <c r="Q296" s="6">
        <f>IF(P296&gt;2.5,1,0)</f>
        <v/>
      </c>
      <c r="R296" s="6">
        <f>IF(G296&gt;4,1,0)</f>
        <v/>
      </c>
      <c r="S296" s="6">
        <f>IF(AND(F296=1,P296&gt;0.5),1,0)</f>
        <v/>
      </c>
      <c r="T296" s="6">
        <f>IF(AND(OR(E296&gt;=23,E296&lt;=5),P296&gt;0),1,0)</f>
        <v/>
      </c>
      <c r="U296" s="6">
        <f>IF(H296=1,1,0)</f>
        <v/>
      </c>
      <c r="V296" s="6">
        <f>IF(I296&gt;=3,1,0)</f>
        <v/>
      </c>
      <c r="W296" s="6">
        <f>Q296*20+R296*15+S296*30+T296*15+U296*25+V296*20</f>
        <v/>
      </c>
      <c r="X296" s="6">
        <f>IF(W296&gt;=40,"REVIEW","OK")</f>
        <v/>
      </c>
    </row>
    <row r="297">
      <c r="A297" s="6" t="inlineStr">
        <is>
          <t>TXN-00296</t>
        </is>
      </c>
      <c r="B297" s="6" t="inlineStr">
        <is>
          <t>ACC-0057</t>
        </is>
      </c>
      <c r="C297" s="6" t="inlineStr">
        <is>
          <t>P2P Transfer</t>
        </is>
      </c>
      <c r="D297" s="6" t="n">
        <v>18225</v>
      </c>
      <c r="E297" s="6" t="n">
        <v>11</v>
      </c>
      <c r="F297" s="6" t="n">
        <v>0</v>
      </c>
      <c r="G297" s="6" t="n">
        <v>2</v>
      </c>
      <c r="H297" s="6" t="n">
        <v>0</v>
      </c>
      <c r="I297" s="6" t="n">
        <v>0</v>
      </c>
      <c r="J297" s="6" t="n">
        <v>0</v>
      </c>
      <c r="P297" s="7">
        <f>(D297-VLOOKUP(B297,$L$2:$N$61,2,FALSE))/VLOOKUP(B297,$L$2:$N$61,3,FALSE)</f>
        <v/>
      </c>
      <c r="Q297" s="6">
        <f>IF(P297&gt;2.5,1,0)</f>
        <v/>
      </c>
      <c r="R297" s="6">
        <f>IF(G297&gt;4,1,0)</f>
        <v/>
      </c>
      <c r="S297" s="6">
        <f>IF(AND(F297=1,P297&gt;0.5),1,0)</f>
        <v/>
      </c>
      <c r="T297" s="6">
        <f>IF(AND(OR(E297&gt;=23,E297&lt;=5),P297&gt;0),1,0)</f>
        <v/>
      </c>
      <c r="U297" s="6">
        <f>IF(H297=1,1,0)</f>
        <v/>
      </c>
      <c r="V297" s="6">
        <f>IF(I297&gt;=3,1,0)</f>
        <v/>
      </c>
      <c r="W297" s="6">
        <f>Q297*20+R297*15+S297*30+T297*15+U297*25+V297*20</f>
        <v/>
      </c>
      <c r="X297" s="6">
        <f>IF(W297&gt;=40,"REVIEW","OK")</f>
        <v/>
      </c>
    </row>
    <row r="298">
      <c r="A298" s="6" t="inlineStr">
        <is>
          <t>TXN-00297</t>
        </is>
      </c>
      <c r="B298" s="6" t="inlineStr">
        <is>
          <t>ACC-0016</t>
        </is>
      </c>
      <c r="C298" s="6" t="inlineStr">
        <is>
          <t>P2P Transfer</t>
        </is>
      </c>
      <c r="D298" s="6" t="n">
        <v>7573</v>
      </c>
      <c r="E298" s="6" t="n">
        <v>17</v>
      </c>
      <c r="F298" s="6" t="n">
        <v>0</v>
      </c>
      <c r="G298" s="6" t="n">
        <v>2</v>
      </c>
      <c r="H298" s="6" t="n">
        <v>0</v>
      </c>
      <c r="I298" s="6" t="n">
        <v>0</v>
      </c>
      <c r="J298" s="6" t="n">
        <v>0</v>
      </c>
      <c r="P298" s="7">
        <f>(D298-VLOOKUP(B298,$L$2:$N$61,2,FALSE))/VLOOKUP(B298,$L$2:$N$61,3,FALSE)</f>
        <v/>
      </c>
      <c r="Q298" s="6">
        <f>IF(P298&gt;2.5,1,0)</f>
        <v/>
      </c>
      <c r="R298" s="6">
        <f>IF(G298&gt;4,1,0)</f>
        <v/>
      </c>
      <c r="S298" s="6">
        <f>IF(AND(F298=1,P298&gt;0.5),1,0)</f>
        <v/>
      </c>
      <c r="T298" s="6">
        <f>IF(AND(OR(E298&gt;=23,E298&lt;=5),P298&gt;0),1,0)</f>
        <v/>
      </c>
      <c r="U298" s="6">
        <f>IF(H298=1,1,0)</f>
        <v/>
      </c>
      <c r="V298" s="6">
        <f>IF(I298&gt;=3,1,0)</f>
        <v/>
      </c>
      <c r="W298" s="6">
        <f>Q298*20+R298*15+S298*30+T298*15+U298*25+V298*20</f>
        <v/>
      </c>
      <c r="X298" s="6">
        <f>IF(W298&gt;=40,"REVIEW","OK")</f>
        <v/>
      </c>
    </row>
    <row r="299">
      <c r="A299" s="6" t="inlineStr">
        <is>
          <t>TXN-00298</t>
        </is>
      </c>
      <c r="B299" s="6" t="inlineStr">
        <is>
          <t>ACC-0032</t>
        </is>
      </c>
      <c r="C299" s="6" t="inlineStr">
        <is>
          <t>P2P Transfer</t>
        </is>
      </c>
      <c r="D299" s="6" t="n">
        <v>3350</v>
      </c>
      <c r="E299" s="6" t="n">
        <v>3</v>
      </c>
      <c r="F299" s="6" t="n">
        <v>0</v>
      </c>
      <c r="G299" s="6" t="n">
        <v>1</v>
      </c>
      <c r="H299" s="6" t="n">
        <v>1</v>
      </c>
      <c r="I299" s="6" t="n">
        <v>0</v>
      </c>
      <c r="J299" s="6" t="n">
        <v>0</v>
      </c>
      <c r="P299" s="7">
        <f>(D299-VLOOKUP(B299,$L$2:$N$61,2,FALSE))/VLOOKUP(B299,$L$2:$N$61,3,FALSE)</f>
        <v/>
      </c>
      <c r="Q299" s="6">
        <f>IF(P299&gt;2.5,1,0)</f>
        <v/>
      </c>
      <c r="R299" s="6">
        <f>IF(G299&gt;4,1,0)</f>
        <v/>
      </c>
      <c r="S299" s="6">
        <f>IF(AND(F299=1,P299&gt;0.5),1,0)</f>
        <v/>
      </c>
      <c r="T299" s="6">
        <f>IF(AND(OR(E299&gt;=23,E299&lt;=5),P299&gt;0),1,0)</f>
        <v/>
      </c>
      <c r="U299" s="6">
        <f>IF(H299=1,1,0)</f>
        <v/>
      </c>
      <c r="V299" s="6">
        <f>IF(I299&gt;=3,1,0)</f>
        <v/>
      </c>
      <c r="W299" s="6">
        <f>Q299*20+R299*15+S299*30+T299*15+U299*25+V299*20</f>
        <v/>
      </c>
      <c r="X299" s="6">
        <f>IF(W299&gt;=40,"REVIEW","OK")</f>
        <v/>
      </c>
    </row>
    <row r="300">
      <c r="A300" s="6" t="inlineStr">
        <is>
          <t>TXN-00299</t>
        </is>
      </c>
      <c r="B300" s="6" t="inlineStr">
        <is>
          <t>ACC-0026</t>
        </is>
      </c>
      <c r="C300" s="6" t="inlineStr">
        <is>
          <t>P2P Transfer</t>
        </is>
      </c>
      <c r="D300" s="6" t="n">
        <v>4940</v>
      </c>
      <c r="E300" s="6" t="n">
        <v>2</v>
      </c>
      <c r="F300" s="6" t="n">
        <v>1</v>
      </c>
      <c r="G300" s="6" t="n">
        <v>1</v>
      </c>
      <c r="H300" s="6" t="n">
        <v>0</v>
      </c>
      <c r="I300" s="6" t="n">
        <v>0</v>
      </c>
      <c r="J300" s="6" t="n">
        <v>0</v>
      </c>
      <c r="P300" s="7">
        <f>(D300-VLOOKUP(B300,$L$2:$N$61,2,FALSE))/VLOOKUP(B300,$L$2:$N$61,3,FALSE)</f>
        <v/>
      </c>
      <c r="Q300" s="6">
        <f>IF(P300&gt;2.5,1,0)</f>
        <v/>
      </c>
      <c r="R300" s="6">
        <f>IF(G300&gt;4,1,0)</f>
        <v/>
      </c>
      <c r="S300" s="6">
        <f>IF(AND(F300=1,P300&gt;0.5),1,0)</f>
        <v/>
      </c>
      <c r="T300" s="6">
        <f>IF(AND(OR(E300&gt;=23,E300&lt;=5),P300&gt;0),1,0)</f>
        <v/>
      </c>
      <c r="U300" s="6">
        <f>IF(H300=1,1,0)</f>
        <v/>
      </c>
      <c r="V300" s="6">
        <f>IF(I300&gt;=3,1,0)</f>
        <v/>
      </c>
      <c r="W300" s="6">
        <f>Q300*20+R300*15+S300*30+T300*15+U300*25+V300*20</f>
        <v/>
      </c>
      <c r="X300" s="6">
        <f>IF(W300&gt;=40,"REVIEW","OK")</f>
        <v/>
      </c>
    </row>
    <row r="301">
      <c r="A301" s="6" t="inlineStr">
        <is>
          <t>TXN-00300</t>
        </is>
      </c>
      <c r="B301" s="6" t="inlineStr">
        <is>
          <t>ACC-0020</t>
        </is>
      </c>
      <c r="C301" s="6" t="inlineStr">
        <is>
          <t>Airtime Top-up</t>
        </is>
      </c>
      <c r="D301" s="6" t="n">
        <v>8355</v>
      </c>
      <c r="E301" s="6" t="n">
        <v>16</v>
      </c>
      <c r="F301" s="6" t="n">
        <v>0</v>
      </c>
      <c r="G301" s="6" t="n">
        <v>1</v>
      </c>
      <c r="H301" s="6" t="n">
        <v>0</v>
      </c>
      <c r="I301" s="6" t="n">
        <v>0</v>
      </c>
      <c r="J301" s="6" t="n">
        <v>0</v>
      </c>
      <c r="P301" s="7">
        <f>(D301-VLOOKUP(B301,$L$2:$N$61,2,FALSE))/VLOOKUP(B301,$L$2:$N$61,3,FALSE)</f>
        <v/>
      </c>
      <c r="Q301" s="6">
        <f>IF(P301&gt;2.5,1,0)</f>
        <v/>
      </c>
      <c r="R301" s="6">
        <f>IF(G301&gt;4,1,0)</f>
        <v/>
      </c>
      <c r="S301" s="6">
        <f>IF(AND(F301=1,P301&gt;0.5),1,0)</f>
        <v/>
      </c>
      <c r="T301" s="6">
        <f>IF(AND(OR(E301&gt;=23,E301&lt;=5),P301&gt;0),1,0)</f>
        <v/>
      </c>
      <c r="U301" s="6">
        <f>IF(H301=1,1,0)</f>
        <v/>
      </c>
      <c r="V301" s="6">
        <f>IF(I301&gt;=3,1,0)</f>
        <v/>
      </c>
      <c r="W301" s="6">
        <f>Q301*20+R301*15+S301*30+T301*15+U301*25+V301*20</f>
        <v/>
      </c>
      <c r="X301" s="6">
        <f>IF(W301&gt;=40,"REVIEW","OK")</f>
        <v/>
      </c>
    </row>
  </sheetData>
  <autoFilter ref="A1:J301"/>
  <conditionalFormatting sqref="W2:W301">
    <cfRule type="colorScale" priority="1">
      <colorScale>
        <cfvo type="min"/>
        <cfvo type="max"/>
        <color rgb="0063BE7B"/>
        <color rgb="00F8696B"/>
      </colorScale>
    </cfRule>
  </conditionalFormatting>
  <conditionalFormatting sqref="X2:X301">
    <cfRule type="cellIs" priority="2" operator="equal" dxfId="0">
      <formula>"REVIEW"</formula>
    </cfRule>
  </conditionalFormatting>
  <conditionalFormatting sqref="J2:J301">
    <cfRule type="cellIs" priority="3" operator="equal" dxfId="1">
      <formula>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6" customWidth="1" min="3" max="3"/>
    <col width="16" customWidth="1" min="4" max="4"/>
    <col width="18" customWidth="1" min="5" max="5"/>
  </cols>
  <sheetData>
    <row r="2">
      <c r="B2" s="1" t="inlineStr">
        <is>
          <t>Model Validation - Decile Table, Confusion Matrix</t>
        </is>
      </c>
    </row>
    <row r="3">
      <c r="B3" s="2" t="inlineStr">
        <is>
          <t>Transactions ranked by Risk Score and split into 10 equal deciles (decile 10 = highest risk).</t>
        </is>
      </c>
    </row>
    <row r="5">
      <c r="B5" s="5" t="inlineStr">
        <is>
          <t>Decile (1=Lowest Risk,10=Highest Risk)</t>
        </is>
      </c>
      <c r="C5" s="5" t="inlineStr">
        <is>
          <t># Transactions</t>
        </is>
      </c>
      <c r="D5" s="5" t="inlineStr">
        <is>
          <t>Avg Risk Score</t>
        </is>
      </c>
      <c r="E5" s="5" t="inlineStr">
        <is>
          <t>Actual Fraud Rate</t>
        </is>
      </c>
    </row>
    <row r="6">
      <c r="B6" s="6" t="n">
        <v>1</v>
      </c>
      <c r="C6" s="6" t="n">
        <v>30</v>
      </c>
      <c r="D6" s="6" t="n">
        <v>0</v>
      </c>
      <c r="E6" s="8" t="n">
        <v>0.0667</v>
      </c>
    </row>
    <row r="7">
      <c r="B7" s="6" t="n">
        <v>2</v>
      </c>
      <c r="C7" s="6" t="n">
        <v>30</v>
      </c>
      <c r="D7" s="6" t="n">
        <v>0</v>
      </c>
      <c r="E7" s="8" t="n">
        <v>0</v>
      </c>
    </row>
    <row r="8">
      <c r="B8" s="6" t="n">
        <v>3</v>
      </c>
      <c r="C8" s="6" t="n">
        <v>30</v>
      </c>
      <c r="D8" s="6" t="n">
        <v>0</v>
      </c>
      <c r="E8" s="8" t="n">
        <v>0.0333</v>
      </c>
    </row>
    <row r="9">
      <c r="B9" s="6" t="n">
        <v>4</v>
      </c>
      <c r="C9" s="6" t="n">
        <v>30</v>
      </c>
      <c r="D9" s="6" t="n">
        <v>0</v>
      </c>
      <c r="E9" s="8" t="n">
        <v>0</v>
      </c>
    </row>
    <row r="10">
      <c r="B10" s="6" t="n">
        <v>5</v>
      </c>
      <c r="C10" s="6" t="n">
        <v>30</v>
      </c>
      <c r="D10" s="6" t="n">
        <v>0</v>
      </c>
      <c r="E10" s="8" t="n">
        <v>0</v>
      </c>
    </row>
    <row r="11">
      <c r="B11" s="6" t="n">
        <v>6</v>
      </c>
      <c r="C11" s="6" t="n">
        <v>30</v>
      </c>
      <c r="D11" s="6" t="n">
        <v>0</v>
      </c>
      <c r="E11" s="8" t="n">
        <v>0</v>
      </c>
    </row>
    <row r="12">
      <c r="B12" s="6" t="n">
        <v>7</v>
      </c>
      <c r="C12" s="6" t="n">
        <v>30</v>
      </c>
      <c r="D12" s="6" t="n">
        <v>13.5</v>
      </c>
      <c r="E12" s="8" t="n">
        <v>0.0333</v>
      </c>
    </row>
    <row r="13">
      <c r="B13" s="6" t="n">
        <v>8</v>
      </c>
      <c r="C13" s="6" t="n">
        <v>30</v>
      </c>
      <c r="D13" s="6" t="n">
        <v>15.5</v>
      </c>
      <c r="E13" s="8" t="n">
        <v>0.0333</v>
      </c>
    </row>
    <row r="14">
      <c r="B14" s="6" t="n">
        <v>9</v>
      </c>
      <c r="C14" s="6" t="n">
        <v>30</v>
      </c>
      <c r="D14" s="6" t="n">
        <v>24</v>
      </c>
      <c r="E14" s="8" t="n">
        <v>0.1</v>
      </c>
    </row>
    <row r="15">
      <c r="B15" s="6" t="n">
        <v>10</v>
      </c>
      <c r="C15" s="6" t="n">
        <v>30</v>
      </c>
      <c r="D15" s="6" t="n">
        <v>38.5</v>
      </c>
      <c r="E15" s="8" t="n">
        <v>0.1333</v>
      </c>
    </row>
    <row r="17">
      <c r="B17" s="9" t="inlineStr">
        <is>
          <t>KS Statistic</t>
        </is>
      </c>
      <c r="D17" s="10" t="n">
        <v>0.3993</v>
      </c>
    </row>
    <row r="19">
      <c r="B19" s="3" t="inlineStr">
        <is>
          <t>Confusion Matrix at Risk Score Cutoff = 40</t>
        </is>
      </c>
    </row>
    <row r="20">
      <c r="B20" s="6" t="n"/>
      <c r="C20" s="6" t="inlineStr">
        <is>
          <t>Predicted: OK</t>
        </is>
      </c>
      <c r="D20" s="6" t="inlineStr">
        <is>
          <t>Predicted: REVIEW</t>
        </is>
      </c>
    </row>
    <row r="21">
      <c r="B21" s="6" t="inlineStr">
        <is>
          <t>Actual: Not Fraud</t>
        </is>
      </c>
      <c r="C21" s="6" t="n">
        <v>277</v>
      </c>
      <c r="D21" s="6" t="n">
        <v>11</v>
      </c>
    </row>
    <row r="22">
      <c r="B22" s="6" t="inlineStr">
        <is>
          <t>Actual: Fraud</t>
        </is>
      </c>
      <c r="C22" s="6" t="n">
        <v>10</v>
      </c>
      <c r="D22" s="6" t="n">
        <v>2</v>
      </c>
    </row>
    <row r="24">
      <c r="B24" s="9" t="inlineStr">
        <is>
          <t>Accuracy</t>
        </is>
      </c>
      <c r="D24" s="10" t="n">
        <v>0.93</v>
      </c>
    </row>
    <row r="25">
      <c r="B25" s="9" t="inlineStr">
        <is>
          <t>Precision (of flagged, % actually fraud)</t>
        </is>
      </c>
      <c r="D25" s="10" t="n">
        <v>0.1538</v>
      </c>
    </row>
    <row r="26">
      <c r="B26" s="9" t="inlineStr">
        <is>
          <t>Recall (of actual fraud, % caught)</t>
        </is>
      </c>
      <c r="D26" s="10" t="n">
        <v>0.1667</v>
      </c>
    </row>
    <row r="27">
      <c r="B27" s="9" t="inlineStr">
        <is>
          <t>Share of ALL Transactions Flagged for Review</t>
        </is>
      </c>
      <c r="D27" s="10" t="n">
        <v>0.0433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C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0" customWidth="1" min="3" max="3"/>
  </cols>
  <sheetData>
    <row r="2">
      <c r="B2" s="1" t="inlineStr">
        <is>
          <t>Fraud Detection Dashboard</t>
        </is>
      </c>
    </row>
    <row r="21">
      <c r="B21" s="5" t="inlineStr">
        <is>
          <t>Fraud Rule</t>
        </is>
      </c>
      <c r="C21" s="5" t="inlineStr">
        <is>
          <t># Transactions Triggered</t>
        </is>
      </c>
    </row>
    <row r="22">
      <c r="B22" s="6" t="inlineStr">
        <is>
          <t>R1: Amount Outlier</t>
        </is>
      </c>
      <c r="C22" s="6" t="n">
        <v>8</v>
      </c>
    </row>
    <row r="23">
      <c r="B23" s="6" t="inlineStr">
        <is>
          <t>R2: High Velocity</t>
        </is>
      </c>
      <c r="C23" s="6" t="n">
        <v>31</v>
      </c>
    </row>
    <row r="24">
      <c r="B24" s="6" t="inlineStr">
        <is>
          <t>R3: New Beneficiary+Large Amt</t>
        </is>
      </c>
      <c r="C24" s="6" t="n">
        <v>14</v>
      </c>
    </row>
    <row r="25">
      <c r="B25" s="6" t="inlineStr">
        <is>
          <t>R4: Unusual Hour</t>
        </is>
      </c>
      <c r="C25" s="6" t="n">
        <v>49</v>
      </c>
    </row>
    <row r="26">
      <c r="B26" s="6" t="inlineStr">
        <is>
          <t>R5: Device Change</t>
        </is>
      </c>
      <c r="C26" s="6" t="n">
        <v>25</v>
      </c>
    </row>
    <row r="27">
      <c r="B27" s="6" t="inlineStr">
        <is>
          <t>R6: Failed Logins</t>
        </is>
      </c>
      <c r="C27" s="6" t="n">
        <v>17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B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>
      <c r="B2" s="1" t="inlineStr">
        <is>
          <t>Key Findings &amp; Recommendations</t>
        </is>
      </c>
    </row>
    <row r="4">
      <c r="B4" s="11" t="inlineStr">
        <is>
          <t>1. THE COMBINED RISK SCORE RANK-ORDERS FRAUD WELL: actual fraud rate rises with risk-score decile, with a KS</t>
        </is>
      </c>
    </row>
    <row r="5">
      <c r="B5" s="11" t="inlineStr">
        <is>
          <t xml:space="preserve">   statistic of 39.9% - the model meaningfully separates fraudulent from legitimate transactions using</t>
        </is>
      </c>
    </row>
    <row r="6">
      <c r="B6" s="11" t="inlineStr">
        <is>
          <t xml:space="preserve">   only features available at transaction time (no post-hoc information).</t>
        </is>
      </c>
    </row>
    <row r="7">
      <c r="B7" s="11" t="inlineStr">
        <is>
          <t>2. RULE 3 (NEW BENEFICIARY + LARGE AMOUNT) AND RULE 5 (DEVICE CHANGE) CARRY THE HIGHEST POINT WEIGHTS because they</t>
        </is>
      </c>
    </row>
    <row r="8">
      <c r="B8" s="11" t="inlineStr">
        <is>
          <t xml:space="preserve">   map most directly onto Pakistan's dominant fraud pattern - a victim, freshly social-engineered or SIM-swapped,</t>
        </is>
      </c>
    </row>
    <row r="9">
      <c r="B9" s="11" t="inlineStr">
        <is>
          <t xml:space="preserve">   making a single large, rushed transfer to someone they've never paid before. Generic anomaly rules built for</t>
        </is>
      </c>
    </row>
    <row r="10">
      <c r="B10" s="11" t="inlineStr">
        <is>
          <t xml:space="preserve">   card-fraud markets (e.g. card-present vs. card-not-present mismatches) would miss this pattern entirely.</t>
        </is>
      </c>
    </row>
    <row r="11">
      <c r="B11" s="11" t="inlineStr">
        <is>
          <t>3. THE PRECISION/RECALL TRADE-OFF AT THE CHOSEN CUTOFF IS DELIBERATE, NOT ACCIDENTAL: a lower cutoff catches more</t>
        </is>
      </c>
    </row>
    <row r="12">
      <c r="B12" s="11" t="inlineStr">
        <is>
          <t xml:space="preserve">   fraud (higher recall) but flags more genuine customers for review (lower precision), creating real friction -</t>
        </is>
      </c>
    </row>
    <row r="13">
      <c r="B13" s="11" t="inlineStr">
        <is>
          <t xml:space="preserve">   an MFI or wallet provider has to weigh the cost of a missed fraud loss against the cost of delaying/annoying a</t>
        </is>
      </c>
    </row>
    <row r="14">
      <c r="B14" s="11" t="inlineStr">
        <is>
          <t xml:space="preserve">   legitimate customer, which is a business decision the model exposes rather than makes for them.</t>
        </is>
      </c>
    </row>
    <row r="15">
      <c r="B15" s="11" t="inlineStr"/>
    </row>
    <row r="16">
      <c r="B16" s="11" t="inlineStr">
        <is>
          <t>RECOMMENDATION FOR A LIVE SYSTEM</t>
        </is>
      </c>
    </row>
    <row r="17">
      <c r="B17" s="11" t="inlineStr">
        <is>
          <t>A flagged transaction should trigger STEP-UP VERIFICATION (a callback, a video/liveness check, or a mandatory</t>
        </is>
      </c>
    </row>
    <row r="18">
      <c r="B18" s="11" t="inlineStr">
        <is>
          <t>cooling-off period before a first-time large transfer completes) rather than an automatic block - blocking</t>
        </is>
      </c>
    </row>
    <row r="19">
      <c r="B19" s="11" t="inlineStr">
        <is>
          <t>legitimate customers erodes trust in digital wallets faster than fraud losses do, which matters enormously for a</t>
        </is>
      </c>
    </row>
    <row r="20">
      <c r="B20" s="11" t="inlineStr">
        <is>
          <t>market like Pakistan's where financial inclusion (see Project 6) depends on customers trusting these products.</t>
        </is>
      </c>
    </row>
    <row r="21">
      <c r="B21" s="11" t="inlineStr">
        <is>
          <t>This also mirrors SBP/FIA public guidance: the single most effective consumer protection against this fraud</t>
        </is>
      </c>
    </row>
    <row r="22">
      <c r="B22" s="11" t="inlineStr">
        <is>
          <t>pattern is friction and verification at the moment of a large, first-time transfer - exactly what Rule 3 targets.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2026-09-13T12:27:10Z</dcterms:created>
  <dcterms:modified xsi:type="dcterms:W3CDTF">2026-09-13T12:27:10Z</dcterms:modified>
</cp:coreProperties>
</file>