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isk Questionnaire" sheetId="2" state="visible" r:id="rId2"/>
    <sheet name="Scoring &amp; Allocation" sheetId="3" state="visible" r:id="rId3"/>
    <sheet name="Client Book" sheetId="4" state="visible" r:id="rId4"/>
    <sheet name="Dashboard" sheetId="5" state="visible" r:id="rId5"/>
    <sheet name="Insights" sheetId="6" state="visible" r:id="rId6"/>
  </sheets>
  <definedNames>
    <definedName name="_xlnm._FilterDatabase" localSheetId="3" hidden="1">'Client Book'!$A$1:$L$26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</font>
    <font>
      <b val="1"/>
      <sz val="13"/>
    </font>
    <font>
      <b val="1"/>
      <color rgb="001F3864"/>
      <sz val="13"/>
    </font>
    <font>
      <b val="1"/>
      <color rgb="00FFFFFF"/>
      <sz val="11"/>
    </font>
    <font>
      <i val="1"/>
      <color rgb="00888888"/>
      <sz val="9"/>
    </font>
    <font>
      <sz val="10.5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9" fontId="0" fillId="0" borderId="1" pivotButton="0" quotePrefix="0" xfId="0"/>
    <xf numFmtId="164" fontId="0" fillId="0" borderId="1" pivotButton="0" quotePrefix="0" xfId="0"/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Your Recommended Allocation</a:t>
            </a:r>
          </a:p>
        </rich>
      </tx>
    </title>
    <plotArea>
      <pieChart>
        <varyColors val="1"/>
        <ser>
          <idx val="0"/>
          <order val="0"/>
          <tx>
            <strRef>
              <f>'Scoring &amp; Allocation'!C17</f>
            </strRef>
          </tx>
          <spPr>
            <a:ln>
              <a:prstDash val="solid"/>
            </a:ln>
          </spPr>
          <cat>
            <numRef>
              <f>'Scoring &amp; Allocation'!$B$18:$B$23</f>
            </numRef>
          </cat>
          <val>
            <numRef>
              <f>'Scoring &amp; Allocation'!$C$18:$C$23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Client Count by Risk Profile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>
              <a:prstDash val="solid"/>
            </a:ln>
          </spPr>
          <cat>
            <numRef>
              <f>'Dashboard'!$B$6:$B$10</f>
            </numRef>
          </cat>
          <val>
            <numRef>
              <f>'Dashboard'!$C$6:$C$10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Robo-Advisory Risk Profiler &amp; Asset Allocation Tool</t>
        </is>
      </c>
    </row>
    <row r="3">
      <c r="B3" s="2" t="inlineStr">
        <is>
          <t>A questionnaire-driven risk profiler that recommends a diversified asset allocation, the way a robo-advisor onboarding flow works</t>
        </is>
      </c>
    </row>
    <row r="5">
      <c r="B5" s="3" t="inlineStr">
        <is>
          <t>PURPOSE</t>
        </is>
      </c>
    </row>
    <row r="6">
      <c r="B6" s="4" t="inlineStr">
        <is>
          <t>Pakistan's retail investment industry is tiny relative to its population: mutual fund penetration is estimated</t>
        </is>
      </c>
    </row>
    <row r="7">
      <c r="B7" s="4" t="inlineStr">
        <is>
          <t>at well under 1% of GDP (Mutual Funds Association of Pakistan / SECP data), compared to 100%+ in developed</t>
        </is>
      </c>
    </row>
    <row r="8">
      <c r="B8" s="4" t="inlineStr">
        <is>
          <t>markets. A major reason is that most first-time investors have no simple way to translate 'how much risk am I</t>
        </is>
      </c>
    </row>
    <row r="9">
      <c r="B9" s="4" t="inlineStr">
        <is>
          <t>comfortable with and how long am I investing for' into an actual portfolio - they either avoid investing</t>
        </is>
      </c>
    </row>
    <row r="10">
      <c r="B10" s="4" t="inlineStr">
        <is>
          <t>altogether or pick investments randomly based on a relative's tip. Global robo-advisors (Betterment, Wealthfront)</t>
        </is>
      </c>
    </row>
    <row r="11">
      <c r="B11" s="4" t="inlineStr">
        <is>
          <t>and Pakistan's own emerging digital wealth platforms solve this with a short risk questionnaire that maps</t>
        </is>
      </c>
    </row>
    <row r="12">
      <c r="B12" s="4" t="inlineStr">
        <is>
          <t>directly to a model portfolio. This project rebuilds that exact onboarding logic as an auditable spreadsheet.</t>
        </is>
      </c>
    </row>
    <row r="14">
      <c r="B14" s="3" t="inlineStr">
        <is>
          <t>HOW IT WORKS</t>
        </is>
      </c>
    </row>
    <row r="15">
      <c r="B15" s="4" t="inlineStr">
        <is>
          <t>1. 'Risk Questionnaire' - 10 short questions covering RISK CAPACITY (age, investment horizon, income stability,</t>
        </is>
      </c>
    </row>
    <row r="16">
      <c r="B16" s="4" t="inlineStr">
        <is>
          <t xml:space="preserve">   emergency fund, dependents) and RISK TOLERANCE (reaction to a 20% loss, investing experience, priority: growth</t>
        </is>
      </c>
    </row>
    <row r="17">
      <c r="B17" s="4" t="inlineStr">
        <is>
          <t xml:space="preserve">   vs. capital protection, liquidity need, Shariah preference). Each answer carries points via a dropdown.</t>
        </is>
      </c>
    </row>
    <row r="18">
      <c r="B18" s="4" t="inlineStr">
        <is>
          <t>2. 'Scoring &amp; Allocation' - the total score (10-50) is mapped to one of 5 risk profiles (Conservative to</t>
        </is>
      </c>
    </row>
    <row r="19">
      <c r="B19" s="4" t="inlineStr">
        <is>
          <t xml:space="preserve">   Aggressive), each with a pre-set model portfolio across 6 asset classes relevant to a Pakistani investor:</t>
        </is>
      </c>
    </row>
    <row r="20">
      <c r="B20" s="4" t="inlineStr">
        <is>
          <t xml:space="preserve">   Cash/T-Bills, Government Sukuk/Bonds, Corporate Sukuk/TFCs, Equity, Gold, and Real Estate/REIT.</t>
        </is>
      </c>
    </row>
    <row r="21">
      <c r="B21" s="4" t="inlineStr">
        <is>
          <t xml:space="preserve">   The sheet then computes the resulting portfolio's expected return, risk, and Sharpe ratio from asset-class</t>
        </is>
      </c>
    </row>
    <row r="22">
      <c r="B22" s="4" t="inlineStr">
        <is>
          <t xml:space="preserve">   return/volatility assumptions, and charts the recommended allocation as a pie chart.</t>
        </is>
      </c>
    </row>
    <row r="23">
      <c r="B23" s="4" t="inlineStr">
        <is>
          <t>3. 'Client Book' - the same questionnaire logic applied to 25 synthetic client profiles, to show how an advisory</t>
        </is>
      </c>
    </row>
    <row r="24">
      <c r="B24" s="4" t="inlineStr">
        <is>
          <t xml:space="preserve">   platform would use this at scale (e.g. to see how many clients land in each risk band).</t>
        </is>
      </c>
    </row>
    <row r="25">
      <c r="B25" s="4" t="inlineStr">
        <is>
          <t>4. 'Dashboard' - distribution of the client book across risk profiles, and average allocation by profile.</t>
        </is>
      </c>
    </row>
    <row r="27">
      <c r="B27" s="3" t="inlineStr">
        <is>
          <t>DATA NOTE</t>
        </is>
      </c>
    </row>
    <row r="28">
      <c r="B28" s="4" t="inlineStr">
        <is>
          <t>Asset-class expected return/volatility figures are illustrative long-run assumptions for the Pakistani market</t>
        </is>
      </c>
    </row>
    <row r="29">
      <c r="B29" s="4" t="inlineStr">
        <is>
          <t>(loosely consistent with historical KSE-100 volatility, State Bank T-bill yields, and gold's typical role as a</t>
        </is>
      </c>
    </row>
    <row r="30">
      <c r="B30" s="4" t="inlineStr">
        <is>
          <t>low-correlation hedge), not a forecast or investment advice. The 25 client profiles are synthetic.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4" customWidth="1" min="3" max="3"/>
    <col width="34" customWidth="1" min="4" max="4"/>
  </cols>
  <sheetData>
    <row r="2">
      <c r="B2" s="1" t="inlineStr">
        <is>
          <t>Investor Risk Questionnaire</t>
        </is>
      </c>
    </row>
    <row r="3">
      <c r="B3" s="2" t="inlineStr">
        <is>
          <t>Choose one answer per question from the dropdown in column D.</t>
        </is>
      </c>
    </row>
    <row r="5">
      <c r="B5" s="5" t="inlineStr">
        <is>
          <t>1. What is your age group?</t>
        </is>
      </c>
      <c r="D5" s="6" t="inlineStr">
        <is>
          <t>Under 30 (4 pts)</t>
        </is>
      </c>
    </row>
    <row r="6">
      <c r="B6" s="5" t="inlineStr">
        <is>
          <t>2. What is your investment time horizon?</t>
        </is>
      </c>
      <c r="D6" s="6" t="inlineStr">
        <is>
          <t>10+ years (5 pts)</t>
        </is>
      </c>
    </row>
    <row r="7">
      <c r="B7" s="5" t="inlineStr">
        <is>
          <t>3. How stable is your income/employment?</t>
        </is>
      </c>
      <c r="D7" s="6" t="inlineStr">
        <is>
          <t>Very stable/govt job (4 pts)</t>
        </is>
      </c>
    </row>
    <row r="8">
      <c r="B8" s="5" t="inlineStr">
        <is>
          <t>4. Do you have an emergency fund (3-6 months expenses) saved separately?</t>
        </is>
      </c>
      <c r="D8" s="6" t="inlineStr">
        <is>
          <t>Yes, fully funded (4 pts)</t>
        </is>
      </c>
    </row>
    <row r="9">
      <c r="B9" s="5" t="inlineStr">
        <is>
          <t>5. How many dependents rely on your income?</t>
        </is>
      </c>
      <c r="D9" s="6" t="inlineStr">
        <is>
          <t>None (4 pts)</t>
        </is>
      </c>
    </row>
    <row r="10">
      <c r="B10" s="5" t="inlineStr">
        <is>
          <t>6. If your portfolio lost 20% of its value in a market downturn, you would:</t>
        </is>
      </c>
      <c r="D10" s="6" t="inlineStr">
        <is>
          <t>Invest more - it's a buying opportunity (5 pts)</t>
        </is>
      </c>
    </row>
    <row r="11">
      <c r="B11" s="5" t="inlineStr">
        <is>
          <t>7. How would you describe your investing experience?</t>
        </is>
      </c>
      <c r="D11" s="6" t="inlineStr">
        <is>
          <t>Experienced (stocks, funds, etc.) (4 pts)</t>
        </is>
      </c>
    </row>
    <row r="12">
      <c r="B12" s="5" t="inlineStr">
        <is>
          <t>8. What matters more to you?</t>
        </is>
      </c>
      <c r="D12" s="6" t="inlineStr">
        <is>
          <t>Maximum long-term growth (5 pts)</t>
        </is>
      </c>
    </row>
    <row r="13">
      <c r="B13" s="5" t="inlineStr">
        <is>
          <t>9. How soon might you need to withdraw a large part of this money?</t>
        </is>
      </c>
      <c r="D13" s="6" t="inlineStr">
        <is>
          <t>Not for 10+ years (4 pts)</t>
        </is>
      </c>
    </row>
    <row r="14">
      <c r="B14" s="5" t="inlineStr">
        <is>
          <t>10. Do you require Shariah-compliant investments only?</t>
        </is>
      </c>
      <c r="D14" s="6" t="inlineStr">
        <is>
          <t>Yes - Islamic/Shariah-compliant only</t>
        </is>
      </c>
    </row>
    <row r="16">
      <c r="B16" s="3" t="inlineStr">
        <is>
          <t>Points Earned</t>
        </is>
      </c>
    </row>
    <row r="17">
      <c r="B17" t="inlineStr">
        <is>
          <t>Q1 points</t>
        </is>
      </c>
      <c r="D17" s="7">
        <f>IF($D$5="Under 30 (4 pts)",4,0)+IF($D$5="30-45 (3 pts)",3,0)+IF($D$5="46-60 (2 pts)",2,0)+IF($D$5="Over 60 (1 pt)",1,0)</f>
        <v/>
      </c>
    </row>
    <row r="18">
      <c r="B18" t="inlineStr">
        <is>
          <t>Q2 points</t>
        </is>
      </c>
      <c r="D18" s="7">
        <f>IF($D$6="10+ years (5 pts)",5,0)+IF($D$6="5-10 years (4 pts)",4,0)+IF($D$6="2-5 years (2 pts)",2,0)+IF($D$6="Under 2 years (1 pt)",1,0)</f>
        <v/>
      </c>
    </row>
    <row r="19">
      <c r="B19" t="inlineStr">
        <is>
          <t>Q3 points</t>
        </is>
      </c>
      <c r="D19" s="7">
        <f>IF($D$7="Very stable/govt job (4 pts)",4,0)+IF($D$7="Stable private job (3 pts)",3,0)+IF($D$7="Variable/business income (2 pts)",2,0)+IF($D$7="Irregular/uncertain (1 pt)",1,0)</f>
        <v/>
      </c>
    </row>
    <row r="20">
      <c r="B20" t="inlineStr">
        <is>
          <t>Q4 points</t>
        </is>
      </c>
      <c r="D20" s="7">
        <f>IF($D$8="Yes, fully funded (4 pts)",4,0)+IF($D$8="Partially funded (2 pts)",2,0)+IF($D$8="No emergency fund (0 pts)",0,0)</f>
        <v/>
      </c>
    </row>
    <row r="21">
      <c r="B21" t="inlineStr">
        <is>
          <t>Q5 points</t>
        </is>
      </c>
      <c r="D21" s="7">
        <f>IF($D$9="None (4 pts)",4,0)+IF($D$9="1-2 (3 pts)",3,0)+IF($D$9="3-4 (2 pts)",2,0)+IF($D$9="5+ (1 pt)",1,0)</f>
        <v/>
      </c>
    </row>
    <row r="22">
      <c r="B22" t="inlineStr">
        <is>
          <t>Q6 points</t>
        </is>
      </c>
      <c r="D22" s="7">
        <f>IF($D$10="Invest more - it's a buying opportunity (5 pts)",5,0)+IF($D$10="Hold and wait it out (3 pts)",3,0)+IF($D$10="Feel anxious but hold (2 pts)",2,0)+IF($D$10="Sell immediately to stop further loss (0 pts)",0,0)</f>
        <v/>
      </c>
    </row>
    <row r="23">
      <c r="B23" t="inlineStr">
        <is>
          <t>Q7 points</t>
        </is>
      </c>
      <c r="D23" s="7">
        <f>IF($D$11="Experienced (stocks, funds, etc.) (4 pts)",4,0)+IF($D$11="Some experience (3 pts)",3,0)+IF($D$11="Only bank deposits/savings (1 pt)",1,0)+IF($D$11="No experience at all (0 pts)",0,0)</f>
        <v/>
      </c>
    </row>
    <row r="24">
      <c r="B24" t="inlineStr">
        <is>
          <t>Q8 points</t>
        </is>
      </c>
      <c r="D24" s="7">
        <f>IF($D$12="Maximum long-term growth (5 pts)",5,0)+IF($D$12="Growth with some stability (3 pts)",3,0)+IF($D$12="Mostly protect what I have (1 pt)",1,0)</f>
        <v/>
      </c>
    </row>
    <row r="25">
      <c r="B25" t="inlineStr">
        <is>
          <t>Q9 points</t>
        </is>
      </c>
      <c r="D25" s="7">
        <f>IF($D$13="Not for 10+ years (4 pts)",4,0)+IF($D$13="Possibly in 5-10 years (3 pts)",3,0)+IF($D$13="Possibly in 1-5 years (1 pt)",1,0)+IF($D$13="Could need it anytime (0 pts)",0,0)</f>
        <v/>
      </c>
    </row>
    <row r="26">
      <c r="B26" t="inlineStr">
        <is>
          <t>Q10 points</t>
        </is>
      </c>
      <c r="D26" s="7">
        <f>IF($D$14="Yes - Islamic/Shariah-compliant only",0,0)+IF($D$14="No preference / conventional is fine",0,0)</f>
        <v/>
      </c>
    </row>
    <row r="28">
      <c r="B28" s="3" t="inlineStr">
        <is>
          <t>TOTAL SCORE (Q1-Q9, max 39)</t>
        </is>
      </c>
      <c r="D28" s="8">
        <f>SUM(D17:D25)</f>
        <v/>
      </c>
    </row>
    <row r="29">
      <c r="B29" s="5" t="inlineStr">
        <is>
          <t>Shariah-Compliant Only?</t>
        </is>
      </c>
      <c r="D29">
        <f>IF($D$14="Yes - Islamic/Shariah-compliant only","YES","NO")</f>
        <v/>
      </c>
    </row>
  </sheetData>
  <dataValidations count="10">
    <dataValidation sqref="D5" showDropDown="0" showInputMessage="0" showErrorMessage="0" allowBlank="0" type="list">
      <formula1>"Under 30 (4 pts),30-45 (3 pts),46-60 (2 pts),Over 60 (1 pt)"</formula1>
    </dataValidation>
    <dataValidation sqref="D6" showDropDown="0" showInputMessage="0" showErrorMessage="0" allowBlank="0" type="list">
      <formula1>"10+ years (5 pts),5-10 years (4 pts),2-5 years (2 pts),Under 2 years (1 pt)"</formula1>
    </dataValidation>
    <dataValidation sqref="D7" showDropDown="0" showInputMessage="0" showErrorMessage="0" allowBlank="0" type="list">
      <formula1>"Very stable/govt job (4 pts),Stable private job (3 pts),Variable/business income (2 pts),Irregular/uncertain (1 pt)"</formula1>
    </dataValidation>
    <dataValidation sqref="D8" showDropDown="0" showInputMessage="0" showErrorMessage="0" allowBlank="0" type="list">
      <formula1>"Yes, fully funded (4 pts),Partially funded (2 pts),No emergency fund (0 pts)"</formula1>
    </dataValidation>
    <dataValidation sqref="D9" showDropDown="0" showInputMessage="0" showErrorMessage="0" allowBlank="0" type="list">
      <formula1>"None (4 pts),1-2 (3 pts),3-4 (2 pts),5+ (1 pt)"</formula1>
    </dataValidation>
    <dataValidation sqref="D10" showDropDown="0" showInputMessage="0" showErrorMessage="0" allowBlank="0" type="list">
      <formula1>"Invest more - it's a buying opportunity (5 pts),Hold and wait it out (3 pts),Feel anxious but hold (2 pts),Sell immediately to stop further loss (0 pts)"</formula1>
    </dataValidation>
    <dataValidation sqref="D11" showDropDown="0" showInputMessage="0" showErrorMessage="0" allowBlank="0" type="list">
      <formula1>"Experienced (stocks, funds, etc.) (4 pts),Some experience (3 pts),Only bank deposits/savings (1 pt),No experience at all (0 pts)"</formula1>
    </dataValidation>
    <dataValidation sqref="D12" showDropDown="0" showInputMessage="0" showErrorMessage="0" allowBlank="0" type="list">
      <formula1>"Maximum long-term growth (5 pts),Growth with some stability (3 pts),Mostly protect what I have (1 pt)"</formula1>
    </dataValidation>
    <dataValidation sqref="D13" showDropDown="0" showInputMessage="0" showErrorMessage="0" allowBlank="0" type="list">
      <formula1>"Not for 10+ years (4 pts),Possibly in 5-10 years (3 pts),Possibly in 1-5 years (1 pt),Could need it anytime (0 pts)"</formula1>
    </dataValidation>
    <dataValidation sqref="D14" showDropDown="0" showInputMessage="0" showErrorMessage="0" allowBlank="0" type="list">
      <formula1>"Yes - Islamic/Shariah-compliant only,No preference / conventional is fine"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2">
      <c r="B2" s="1" t="inlineStr">
        <is>
          <t>Risk Profile &amp; Recommended Asset Allocation</t>
        </is>
      </c>
    </row>
    <row r="4">
      <c r="B4" s="5" t="inlineStr">
        <is>
          <t>Your Total Score:</t>
        </is>
      </c>
      <c r="D4" s="9">
        <f>'Risk Questionnaire'!D28</f>
        <v/>
      </c>
    </row>
    <row r="5">
      <c r="B5" s="5" t="inlineStr">
        <is>
          <t>Risk Profile:</t>
        </is>
      </c>
      <c r="D5" s="9">
        <f>IF(D4&lt;=15,"1. Conservative",IF(D4&lt;=22,"2. Moderately Conservative",IF(D4&lt;=29,"3. Balanced/Moderate",IF(D4&lt;=35,"4. Growth-Oriented","5. Aggressive Growth"))))</f>
        <v/>
      </c>
    </row>
    <row r="7">
      <c r="B7" s="3" t="inlineStr">
        <is>
          <t>Model Portfolios by Risk Profile</t>
        </is>
      </c>
    </row>
    <row r="8">
      <c r="B8" s="10" t="inlineStr">
        <is>
          <t>Asset Class</t>
        </is>
      </c>
      <c r="C8" s="10" t="inlineStr">
        <is>
          <t>1. Conservative</t>
        </is>
      </c>
      <c r="D8" s="10" t="inlineStr">
        <is>
          <t>2. Moderately Conservative</t>
        </is>
      </c>
      <c r="E8" s="10" t="inlineStr">
        <is>
          <t>3. Balanced/Moderate</t>
        </is>
      </c>
      <c r="F8" s="10" t="inlineStr">
        <is>
          <t>4. Growth-Oriented</t>
        </is>
      </c>
      <c r="G8" s="10" t="inlineStr">
        <is>
          <t>5. Aggressive Growth</t>
        </is>
      </c>
    </row>
    <row r="9">
      <c r="B9" s="7" t="inlineStr">
        <is>
          <t>Cash / T-Bills</t>
        </is>
      </c>
      <c r="C9" s="11" t="n">
        <v>0.45</v>
      </c>
      <c r="D9" s="11" t="n">
        <v>0.25</v>
      </c>
      <c r="E9" s="11" t="n">
        <v>0.1</v>
      </c>
      <c r="F9" s="11" t="n">
        <v>0.05</v>
      </c>
      <c r="G9" s="11" t="n">
        <v>0.02</v>
      </c>
    </row>
    <row r="10">
      <c r="B10" s="7" t="inlineStr">
        <is>
          <t>Govt Sukuk/Bonds</t>
        </is>
      </c>
      <c r="C10" s="11" t="n">
        <v>0.35</v>
      </c>
      <c r="D10" s="11" t="n">
        <v>0.3</v>
      </c>
      <c r="E10" s="11" t="n">
        <v>0.2</v>
      </c>
      <c r="F10" s="11" t="n">
        <v>0.1</v>
      </c>
      <c r="G10" s="11" t="n">
        <v>0.03</v>
      </c>
    </row>
    <row r="11">
      <c r="B11" s="7" t="inlineStr">
        <is>
          <t>Corporate Sukuk/TFCs</t>
        </is>
      </c>
      <c r="C11" s="11" t="n">
        <v>0.1</v>
      </c>
      <c r="D11" s="11" t="n">
        <v>0.15</v>
      </c>
      <c r="E11" s="11" t="n">
        <v>0.2</v>
      </c>
      <c r="F11" s="11" t="n">
        <v>0.15</v>
      </c>
      <c r="G11" s="11" t="n">
        <v>0.1</v>
      </c>
    </row>
    <row r="12">
      <c r="B12" s="7" t="inlineStr">
        <is>
          <t>Equity (KSE-100/KMI-30)</t>
        </is>
      </c>
      <c r="C12" s="11" t="n">
        <v>0.05</v>
      </c>
      <c r="D12" s="11" t="n">
        <v>0.2</v>
      </c>
      <c r="E12" s="11" t="n">
        <v>0.35</v>
      </c>
      <c r="F12" s="11" t="n">
        <v>0.55</v>
      </c>
      <c r="G12" s="11" t="n">
        <v>0.75</v>
      </c>
    </row>
    <row r="13">
      <c r="B13" s="7" t="inlineStr">
        <is>
          <t>Gold</t>
        </is>
      </c>
      <c r="C13" s="11" t="n">
        <v>0.03</v>
      </c>
      <c r="D13" s="11" t="n">
        <v>0.05</v>
      </c>
      <c r="E13" s="11" t="n">
        <v>0.08</v>
      </c>
      <c r="F13" s="11" t="n">
        <v>0.07000000000000001</v>
      </c>
      <c r="G13" s="11" t="n">
        <v>0.05</v>
      </c>
    </row>
    <row r="14">
      <c r="B14" s="7" t="inlineStr">
        <is>
          <t>Real Estate/REIT</t>
        </is>
      </c>
      <c r="C14" s="11" t="n">
        <v>0.02</v>
      </c>
      <c r="D14" s="11" t="n">
        <v>0.05</v>
      </c>
      <c r="E14" s="11" t="n">
        <v>0.07000000000000001</v>
      </c>
      <c r="F14" s="11" t="n">
        <v>0.08</v>
      </c>
      <c r="G14" s="11" t="n">
        <v>0.05</v>
      </c>
    </row>
    <row r="16">
      <c r="B16" s="3" t="inlineStr">
        <is>
          <t>YOUR Recommended Allocation</t>
        </is>
      </c>
    </row>
    <row r="17">
      <c r="B17" s="10" t="inlineStr">
        <is>
          <t>Asset Class</t>
        </is>
      </c>
      <c r="C17" s="10" t="inlineStr">
        <is>
          <t>Weight</t>
        </is>
      </c>
      <c r="D17" s="10" t="inlineStr">
        <is>
          <t>Expected Return</t>
        </is>
      </c>
      <c r="E17" s="10" t="inlineStr">
        <is>
          <t>Volatility</t>
        </is>
      </c>
    </row>
    <row r="18">
      <c r="B18" s="7" t="inlineStr">
        <is>
          <t>Cash / T-Bills</t>
        </is>
      </c>
      <c r="C18" s="11">
        <f>INDEX($C9:$G9,MATCH($D$5,$C$8:$G$8,0))</f>
        <v/>
      </c>
      <c r="D18" s="12" t="n">
        <v>0.11</v>
      </c>
      <c r="E18" s="12" t="n">
        <v>0.01</v>
      </c>
    </row>
    <row r="19">
      <c r="B19" s="7" t="inlineStr">
        <is>
          <t>Govt Sukuk/Bonds</t>
        </is>
      </c>
      <c r="C19" s="11">
        <f>INDEX($C10:$G10,MATCH($D$5,$C$8:$G$8,0))</f>
        <v/>
      </c>
      <c r="D19" s="12" t="n">
        <v>0.13</v>
      </c>
      <c r="E19" s="12" t="n">
        <v>0.04</v>
      </c>
    </row>
    <row r="20">
      <c r="B20" s="7" t="inlineStr">
        <is>
          <t>Corporate Sukuk/TFCs</t>
        </is>
      </c>
      <c r="C20" s="11">
        <f>INDEX($C11:$G11,MATCH($D$5,$C$8:$G$8,0))</f>
        <v/>
      </c>
      <c r="D20" s="12" t="n">
        <v>0.15</v>
      </c>
      <c r="E20" s="12" t="n">
        <v>0.07000000000000001</v>
      </c>
    </row>
    <row r="21">
      <c r="B21" s="7" t="inlineStr">
        <is>
          <t>Equity (KSE-100/KMI-30)</t>
        </is>
      </c>
      <c r="C21" s="11">
        <f>INDEX($C12:$G12,MATCH($D$5,$C$8:$G$8,0))</f>
        <v/>
      </c>
      <c r="D21" s="12" t="n">
        <v>0.18</v>
      </c>
      <c r="E21" s="12" t="n">
        <v>0.26</v>
      </c>
    </row>
    <row r="22">
      <c r="B22" s="7" t="inlineStr">
        <is>
          <t>Gold</t>
        </is>
      </c>
      <c r="C22" s="11">
        <f>INDEX($C13:$G13,MATCH($D$5,$C$8:$G$8,0))</f>
        <v/>
      </c>
      <c r="D22" s="12" t="n">
        <v>0.1</v>
      </c>
      <c r="E22" s="12" t="n">
        <v>0.14</v>
      </c>
    </row>
    <row r="23">
      <c r="B23" s="7" t="inlineStr">
        <is>
          <t>Real Estate/REIT</t>
        </is>
      </c>
      <c r="C23" s="11">
        <f>INDEX($C14:$G14,MATCH($D$5,$C$8:$G$8,0))</f>
        <v/>
      </c>
      <c r="D23" s="12" t="n">
        <v>0.12</v>
      </c>
      <c r="E23" s="12" t="n">
        <v>0.1</v>
      </c>
    </row>
    <row r="25">
      <c r="B25" s="5" t="inlineStr">
        <is>
          <t>Portfolio Expected Return</t>
        </is>
      </c>
      <c r="D25" s="13">
        <f>SUMPRODUCT(C18:C23,D18:D23)</f>
        <v/>
      </c>
    </row>
    <row r="26">
      <c r="B26" s="5" t="inlineStr">
        <is>
          <t>Portfolio Volatility (simplified, ignores correlation)</t>
        </is>
      </c>
      <c r="D26" s="13">
        <f>SUMPRODUCT(C18:C23,E18:E23)</f>
        <v/>
      </c>
    </row>
    <row r="27">
      <c r="B27" s="14" t="inlineStr">
        <is>
          <t>Note: true portfolio volatility is lower once diversification (correlation &lt; 1) across asset classes is factored in - see Project 3 for the full covariance-based calculation.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0" customWidth="1" min="4" max="4"/>
    <col width="20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2" customWidth="1" min="11" max="11"/>
    <col width="24" customWidth="1" min="12" max="12"/>
  </cols>
  <sheetData>
    <row r="1">
      <c r="A1" s="10" t="inlineStr">
        <is>
          <t>Client ID</t>
        </is>
      </c>
      <c r="B1" s="10" t="inlineStr">
        <is>
          <t>Age</t>
        </is>
      </c>
      <c r="C1" s="10" t="inlineStr">
        <is>
          <t>Horizon (yrs)</t>
        </is>
      </c>
      <c r="D1" s="10" t="inlineStr">
        <is>
          <t>Income Stability (1-4)</t>
        </is>
      </c>
      <c r="E1" s="10" t="inlineStr">
        <is>
          <t>Emergency Fund (0/2/4)</t>
        </is>
      </c>
      <c r="F1" s="10" t="inlineStr">
        <is>
          <t>Dependents (1-4)</t>
        </is>
      </c>
      <c r="G1" s="10" t="inlineStr">
        <is>
          <t>Loss Reaction (0-5)</t>
        </is>
      </c>
      <c r="H1" s="10" t="inlineStr">
        <is>
          <t>Experience (0-4)</t>
        </is>
      </c>
      <c r="I1" s="10" t="inlineStr">
        <is>
          <t>Priority (1/3/5)</t>
        </is>
      </c>
      <c r="J1" s="10" t="inlineStr">
        <is>
          <t>Liquidity Need (0-4)</t>
        </is>
      </c>
      <c r="K1" s="10" t="inlineStr">
        <is>
          <t>Total Score</t>
        </is>
      </c>
      <c r="L1" s="10" t="inlineStr">
        <is>
          <t>Risk Profile</t>
        </is>
      </c>
    </row>
    <row r="2">
      <c r="A2" s="7" t="inlineStr">
        <is>
          <t>CL-001</t>
        </is>
      </c>
      <c r="B2" s="7" t="n">
        <v>1</v>
      </c>
      <c r="C2" s="7" t="n">
        <v>1</v>
      </c>
      <c r="D2" s="7" t="n">
        <v>1</v>
      </c>
      <c r="E2" s="7" t="n">
        <v>0</v>
      </c>
      <c r="F2" s="7" t="n">
        <v>3</v>
      </c>
      <c r="G2" s="7" t="n">
        <v>3</v>
      </c>
      <c r="H2" s="7" t="n">
        <v>0</v>
      </c>
      <c r="I2" s="7" t="n">
        <v>1</v>
      </c>
      <c r="J2" s="7" t="n">
        <v>3</v>
      </c>
      <c r="K2" s="7" t="n">
        <v>13</v>
      </c>
      <c r="L2" s="7" t="inlineStr">
        <is>
          <t>1. Conservative</t>
        </is>
      </c>
    </row>
    <row r="3">
      <c r="A3" s="7" t="inlineStr">
        <is>
          <t>CL-002</t>
        </is>
      </c>
      <c r="B3" s="7" t="n">
        <v>4</v>
      </c>
      <c r="C3" s="7" t="n">
        <v>1</v>
      </c>
      <c r="D3" s="7" t="n">
        <v>2</v>
      </c>
      <c r="E3" s="7" t="n">
        <v>4</v>
      </c>
      <c r="F3" s="7" t="n">
        <v>4</v>
      </c>
      <c r="G3" s="7" t="n">
        <v>5</v>
      </c>
      <c r="H3" s="7" t="n">
        <v>0</v>
      </c>
      <c r="I3" s="7" t="n">
        <v>3</v>
      </c>
      <c r="J3" s="7" t="n">
        <v>3</v>
      </c>
      <c r="K3" s="7" t="n">
        <v>26</v>
      </c>
      <c r="L3" s="7" t="inlineStr">
        <is>
          <t>3. Balanced/Moderate</t>
        </is>
      </c>
    </row>
    <row r="4">
      <c r="A4" s="7" t="inlineStr">
        <is>
          <t>CL-003</t>
        </is>
      </c>
      <c r="B4" s="7" t="n">
        <v>4</v>
      </c>
      <c r="C4" s="7" t="n">
        <v>5</v>
      </c>
      <c r="D4" s="7" t="n">
        <v>4</v>
      </c>
      <c r="E4" s="7" t="n">
        <v>4</v>
      </c>
      <c r="F4" s="7" t="n">
        <v>3</v>
      </c>
      <c r="G4" s="7" t="n">
        <v>3</v>
      </c>
      <c r="H4" s="7" t="n">
        <v>4</v>
      </c>
      <c r="I4" s="7" t="n">
        <v>3</v>
      </c>
      <c r="J4" s="7" t="n">
        <v>1</v>
      </c>
      <c r="K4" s="7" t="n">
        <v>31</v>
      </c>
      <c r="L4" s="7" t="inlineStr">
        <is>
          <t>4. Growth-Oriented</t>
        </is>
      </c>
    </row>
    <row r="5">
      <c r="A5" s="7" t="inlineStr">
        <is>
          <t>CL-004</t>
        </is>
      </c>
      <c r="B5" s="7" t="n">
        <v>1</v>
      </c>
      <c r="C5" s="7" t="n">
        <v>4</v>
      </c>
      <c r="D5" s="7" t="n">
        <v>3</v>
      </c>
      <c r="E5" s="7" t="n">
        <v>0</v>
      </c>
      <c r="F5" s="7" t="n">
        <v>2</v>
      </c>
      <c r="G5" s="7" t="n">
        <v>0</v>
      </c>
      <c r="H5" s="7" t="n">
        <v>4</v>
      </c>
      <c r="I5" s="7" t="n">
        <v>1</v>
      </c>
      <c r="J5" s="7" t="n">
        <v>4</v>
      </c>
      <c r="K5" s="7" t="n">
        <v>19</v>
      </c>
      <c r="L5" s="7" t="inlineStr">
        <is>
          <t>2. Moderately Conservative</t>
        </is>
      </c>
    </row>
    <row r="6">
      <c r="A6" s="7" t="inlineStr">
        <is>
          <t>CL-005</t>
        </is>
      </c>
      <c r="B6" s="7" t="n">
        <v>1</v>
      </c>
      <c r="C6" s="7" t="n">
        <v>2</v>
      </c>
      <c r="D6" s="7" t="n">
        <v>1</v>
      </c>
      <c r="E6" s="7" t="n">
        <v>0</v>
      </c>
      <c r="F6" s="7" t="n">
        <v>4</v>
      </c>
      <c r="G6" s="7" t="n">
        <v>2</v>
      </c>
      <c r="H6" s="7" t="n">
        <v>1</v>
      </c>
      <c r="I6" s="7" t="n">
        <v>5</v>
      </c>
      <c r="J6" s="7" t="n">
        <v>1</v>
      </c>
      <c r="K6" s="7" t="n">
        <v>17</v>
      </c>
      <c r="L6" s="7" t="inlineStr">
        <is>
          <t>2. Moderately Conservative</t>
        </is>
      </c>
    </row>
    <row r="7">
      <c r="A7" s="7" t="inlineStr">
        <is>
          <t>CL-006</t>
        </is>
      </c>
      <c r="B7" s="7" t="n">
        <v>4</v>
      </c>
      <c r="C7" s="7" t="n">
        <v>5</v>
      </c>
      <c r="D7" s="7" t="n">
        <v>4</v>
      </c>
      <c r="E7" s="7" t="n">
        <v>2</v>
      </c>
      <c r="F7" s="7" t="n">
        <v>4</v>
      </c>
      <c r="G7" s="7" t="n">
        <v>2</v>
      </c>
      <c r="H7" s="7" t="n">
        <v>0</v>
      </c>
      <c r="I7" s="7" t="n">
        <v>5</v>
      </c>
      <c r="J7" s="7" t="n">
        <v>4</v>
      </c>
      <c r="K7" s="7" t="n">
        <v>30</v>
      </c>
      <c r="L7" s="7" t="inlineStr">
        <is>
          <t>4. Growth-Oriented</t>
        </is>
      </c>
    </row>
    <row r="8">
      <c r="A8" s="7" t="inlineStr">
        <is>
          <t>CL-007</t>
        </is>
      </c>
      <c r="B8" s="7" t="n">
        <v>4</v>
      </c>
      <c r="C8" s="7" t="n">
        <v>4</v>
      </c>
      <c r="D8" s="7" t="n">
        <v>3</v>
      </c>
      <c r="E8" s="7" t="n">
        <v>4</v>
      </c>
      <c r="F8" s="7" t="n">
        <v>1</v>
      </c>
      <c r="G8" s="7" t="n">
        <v>0</v>
      </c>
      <c r="H8" s="7" t="n">
        <v>0</v>
      </c>
      <c r="I8" s="7" t="n">
        <v>3</v>
      </c>
      <c r="J8" s="7" t="n">
        <v>4</v>
      </c>
      <c r="K8" s="7" t="n">
        <v>23</v>
      </c>
      <c r="L8" s="7" t="inlineStr">
        <is>
          <t>3. Balanced/Moderate</t>
        </is>
      </c>
    </row>
    <row r="9">
      <c r="A9" s="7" t="inlineStr">
        <is>
          <t>CL-008</t>
        </is>
      </c>
      <c r="B9" s="7" t="n">
        <v>3</v>
      </c>
      <c r="C9" s="7" t="n">
        <v>2</v>
      </c>
      <c r="D9" s="7" t="n">
        <v>2</v>
      </c>
      <c r="E9" s="7" t="n">
        <v>4</v>
      </c>
      <c r="F9" s="7" t="n">
        <v>2</v>
      </c>
      <c r="G9" s="7" t="n">
        <v>2</v>
      </c>
      <c r="H9" s="7" t="n">
        <v>4</v>
      </c>
      <c r="I9" s="7" t="n">
        <v>3</v>
      </c>
      <c r="J9" s="7" t="n">
        <v>4</v>
      </c>
      <c r="K9" s="7" t="n">
        <v>26</v>
      </c>
      <c r="L9" s="7" t="inlineStr">
        <is>
          <t>3. Balanced/Moderate</t>
        </is>
      </c>
    </row>
    <row r="10">
      <c r="A10" s="7" t="inlineStr">
        <is>
          <t>CL-009</t>
        </is>
      </c>
      <c r="B10" s="7" t="n">
        <v>3</v>
      </c>
      <c r="C10" s="7" t="n">
        <v>4</v>
      </c>
      <c r="D10" s="7" t="n">
        <v>4</v>
      </c>
      <c r="E10" s="7" t="n">
        <v>4</v>
      </c>
      <c r="F10" s="7" t="n">
        <v>4</v>
      </c>
      <c r="G10" s="7" t="n">
        <v>0</v>
      </c>
      <c r="H10" s="7" t="n">
        <v>0</v>
      </c>
      <c r="I10" s="7" t="n">
        <v>5</v>
      </c>
      <c r="J10" s="7" t="n">
        <v>3</v>
      </c>
      <c r="K10" s="7" t="n">
        <v>27</v>
      </c>
      <c r="L10" s="7" t="inlineStr">
        <is>
          <t>3. Balanced/Moderate</t>
        </is>
      </c>
    </row>
    <row r="11">
      <c r="A11" s="7" t="inlineStr">
        <is>
          <t>CL-010</t>
        </is>
      </c>
      <c r="B11" s="7" t="n">
        <v>1</v>
      </c>
      <c r="C11" s="7" t="n">
        <v>4</v>
      </c>
      <c r="D11" s="7" t="n">
        <v>3</v>
      </c>
      <c r="E11" s="7" t="n">
        <v>2</v>
      </c>
      <c r="F11" s="7" t="n">
        <v>1</v>
      </c>
      <c r="G11" s="7" t="n">
        <v>5</v>
      </c>
      <c r="H11" s="7" t="n">
        <v>0</v>
      </c>
      <c r="I11" s="7" t="n">
        <v>3</v>
      </c>
      <c r="J11" s="7" t="n">
        <v>3</v>
      </c>
      <c r="K11" s="7" t="n">
        <v>22</v>
      </c>
      <c r="L11" s="7" t="inlineStr">
        <is>
          <t>2. Moderately Conservative</t>
        </is>
      </c>
    </row>
    <row r="12">
      <c r="A12" s="7" t="inlineStr">
        <is>
          <t>CL-011</t>
        </is>
      </c>
      <c r="B12" s="7" t="n">
        <v>4</v>
      </c>
      <c r="C12" s="7" t="n">
        <v>2</v>
      </c>
      <c r="D12" s="7" t="n">
        <v>2</v>
      </c>
      <c r="E12" s="7" t="n">
        <v>4</v>
      </c>
      <c r="F12" s="7" t="n">
        <v>3</v>
      </c>
      <c r="G12" s="7" t="n">
        <v>3</v>
      </c>
      <c r="H12" s="7" t="n">
        <v>0</v>
      </c>
      <c r="I12" s="7" t="n">
        <v>1</v>
      </c>
      <c r="J12" s="7" t="n">
        <v>4</v>
      </c>
      <c r="K12" s="7" t="n">
        <v>23</v>
      </c>
      <c r="L12" s="7" t="inlineStr">
        <is>
          <t>3. Balanced/Moderate</t>
        </is>
      </c>
    </row>
    <row r="13">
      <c r="A13" s="7" t="inlineStr">
        <is>
          <t>CL-012</t>
        </is>
      </c>
      <c r="B13" s="7" t="n">
        <v>4</v>
      </c>
      <c r="C13" s="7" t="n">
        <v>4</v>
      </c>
      <c r="D13" s="7" t="n">
        <v>3</v>
      </c>
      <c r="E13" s="7" t="n">
        <v>2</v>
      </c>
      <c r="F13" s="7" t="n">
        <v>2</v>
      </c>
      <c r="G13" s="7" t="n">
        <v>5</v>
      </c>
      <c r="H13" s="7" t="n">
        <v>1</v>
      </c>
      <c r="I13" s="7" t="n">
        <v>3</v>
      </c>
      <c r="J13" s="7" t="n">
        <v>0</v>
      </c>
      <c r="K13" s="7" t="n">
        <v>24</v>
      </c>
      <c r="L13" s="7" t="inlineStr">
        <is>
          <t>3. Balanced/Moderate</t>
        </is>
      </c>
    </row>
    <row r="14">
      <c r="A14" s="7" t="inlineStr">
        <is>
          <t>CL-013</t>
        </is>
      </c>
      <c r="B14" s="7" t="n">
        <v>4</v>
      </c>
      <c r="C14" s="7" t="n">
        <v>5</v>
      </c>
      <c r="D14" s="7" t="n">
        <v>4</v>
      </c>
      <c r="E14" s="7" t="n">
        <v>4</v>
      </c>
      <c r="F14" s="7" t="n">
        <v>3</v>
      </c>
      <c r="G14" s="7" t="n">
        <v>5</v>
      </c>
      <c r="H14" s="7" t="n">
        <v>1</v>
      </c>
      <c r="I14" s="7" t="n">
        <v>3</v>
      </c>
      <c r="J14" s="7" t="n">
        <v>0</v>
      </c>
      <c r="K14" s="7" t="n">
        <v>29</v>
      </c>
      <c r="L14" s="7" t="inlineStr">
        <is>
          <t>3. Balanced/Moderate</t>
        </is>
      </c>
    </row>
    <row r="15">
      <c r="A15" s="7" t="inlineStr">
        <is>
          <t>CL-014</t>
        </is>
      </c>
      <c r="B15" s="7" t="n">
        <v>3</v>
      </c>
      <c r="C15" s="7" t="n">
        <v>1</v>
      </c>
      <c r="D15" s="7" t="n">
        <v>3</v>
      </c>
      <c r="E15" s="7" t="n">
        <v>2</v>
      </c>
      <c r="F15" s="7" t="n">
        <v>3</v>
      </c>
      <c r="G15" s="7" t="n">
        <v>3</v>
      </c>
      <c r="H15" s="7" t="n">
        <v>1</v>
      </c>
      <c r="I15" s="7" t="n">
        <v>5</v>
      </c>
      <c r="J15" s="7" t="n">
        <v>3</v>
      </c>
      <c r="K15" s="7" t="n">
        <v>24</v>
      </c>
      <c r="L15" s="7" t="inlineStr">
        <is>
          <t>3. Balanced/Moderate</t>
        </is>
      </c>
    </row>
    <row r="16">
      <c r="A16" s="7" t="inlineStr">
        <is>
          <t>CL-015</t>
        </is>
      </c>
      <c r="B16" s="7" t="n">
        <v>3</v>
      </c>
      <c r="C16" s="7" t="n">
        <v>4</v>
      </c>
      <c r="D16" s="7" t="n">
        <v>3</v>
      </c>
      <c r="E16" s="7" t="n">
        <v>0</v>
      </c>
      <c r="F16" s="7" t="n">
        <v>1</v>
      </c>
      <c r="G16" s="7" t="n">
        <v>0</v>
      </c>
      <c r="H16" s="7" t="n">
        <v>4</v>
      </c>
      <c r="I16" s="7" t="n">
        <v>3</v>
      </c>
      <c r="J16" s="7" t="n">
        <v>4</v>
      </c>
      <c r="K16" s="7" t="n">
        <v>22</v>
      </c>
      <c r="L16" s="7" t="inlineStr">
        <is>
          <t>2. Moderately Conservative</t>
        </is>
      </c>
    </row>
    <row r="17">
      <c r="A17" s="7" t="inlineStr">
        <is>
          <t>CL-016</t>
        </is>
      </c>
      <c r="B17" s="7" t="n">
        <v>4</v>
      </c>
      <c r="C17" s="7" t="n">
        <v>5</v>
      </c>
      <c r="D17" s="7" t="n">
        <v>4</v>
      </c>
      <c r="E17" s="7" t="n">
        <v>0</v>
      </c>
      <c r="F17" s="7" t="n">
        <v>2</v>
      </c>
      <c r="G17" s="7" t="n">
        <v>3</v>
      </c>
      <c r="H17" s="7" t="n">
        <v>0</v>
      </c>
      <c r="I17" s="7" t="n">
        <v>3</v>
      </c>
      <c r="J17" s="7" t="n">
        <v>0</v>
      </c>
      <c r="K17" s="7" t="n">
        <v>21</v>
      </c>
      <c r="L17" s="7" t="inlineStr">
        <is>
          <t>2. Moderately Conservative</t>
        </is>
      </c>
    </row>
    <row r="18">
      <c r="A18" s="7" t="inlineStr">
        <is>
          <t>CL-017</t>
        </is>
      </c>
      <c r="B18" s="7" t="n">
        <v>1</v>
      </c>
      <c r="C18" s="7" t="n">
        <v>2</v>
      </c>
      <c r="D18" s="7" t="n">
        <v>3</v>
      </c>
      <c r="E18" s="7" t="n">
        <v>0</v>
      </c>
      <c r="F18" s="7" t="n">
        <v>4</v>
      </c>
      <c r="G18" s="7" t="n">
        <v>3</v>
      </c>
      <c r="H18" s="7" t="n">
        <v>3</v>
      </c>
      <c r="I18" s="7" t="n">
        <v>3</v>
      </c>
      <c r="J18" s="7" t="n">
        <v>4</v>
      </c>
      <c r="K18" s="7" t="n">
        <v>23</v>
      </c>
      <c r="L18" s="7" t="inlineStr">
        <is>
          <t>3. Balanced/Moderate</t>
        </is>
      </c>
    </row>
    <row r="19">
      <c r="A19" s="7" t="inlineStr">
        <is>
          <t>CL-018</t>
        </is>
      </c>
      <c r="B19" s="7" t="n">
        <v>2</v>
      </c>
      <c r="C19" s="7" t="n">
        <v>4</v>
      </c>
      <c r="D19" s="7" t="n">
        <v>3</v>
      </c>
      <c r="E19" s="7" t="n">
        <v>0</v>
      </c>
      <c r="F19" s="7" t="n">
        <v>4</v>
      </c>
      <c r="G19" s="7" t="n">
        <v>5</v>
      </c>
      <c r="H19" s="7" t="n">
        <v>1</v>
      </c>
      <c r="I19" s="7" t="n">
        <v>3</v>
      </c>
      <c r="J19" s="7" t="n">
        <v>0</v>
      </c>
      <c r="K19" s="7" t="n">
        <v>22</v>
      </c>
      <c r="L19" s="7" t="inlineStr">
        <is>
          <t>2. Moderately Conservative</t>
        </is>
      </c>
    </row>
    <row r="20">
      <c r="A20" s="7" t="inlineStr">
        <is>
          <t>CL-019</t>
        </is>
      </c>
      <c r="B20" s="7" t="n">
        <v>3</v>
      </c>
      <c r="C20" s="7" t="n">
        <v>5</v>
      </c>
      <c r="D20" s="7" t="n">
        <v>4</v>
      </c>
      <c r="E20" s="7" t="n">
        <v>4</v>
      </c>
      <c r="F20" s="7" t="n">
        <v>2</v>
      </c>
      <c r="G20" s="7" t="n">
        <v>2</v>
      </c>
      <c r="H20" s="7" t="n">
        <v>3</v>
      </c>
      <c r="I20" s="7" t="n">
        <v>5</v>
      </c>
      <c r="J20" s="7" t="n">
        <v>1</v>
      </c>
      <c r="K20" s="7" t="n">
        <v>29</v>
      </c>
      <c r="L20" s="7" t="inlineStr">
        <is>
          <t>3. Balanced/Moderate</t>
        </is>
      </c>
    </row>
    <row r="21">
      <c r="A21" s="7" t="inlineStr">
        <is>
          <t>CL-020</t>
        </is>
      </c>
      <c r="B21" s="7" t="n">
        <v>3</v>
      </c>
      <c r="C21" s="7" t="n">
        <v>1</v>
      </c>
      <c r="D21" s="7" t="n">
        <v>2</v>
      </c>
      <c r="E21" s="7" t="n">
        <v>0</v>
      </c>
      <c r="F21" s="7" t="n">
        <v>3</v>
      </c>
      <c r="G21" s="7" t="n">
        <v>5</v>
      </c>
      <c r="H21" s="7" t="n">
        <v>4</v>
      </c>
      <c r="I21" s="7" t="n">
        <v>3</v>
      </c>
      <c r="J21" s="7" t="n">
        <v>1</v>
      </c>
      <c r="K21" s="7" t="n">
        <v>22</v>
      </c>
      <c r="L21" s="7" t="inlineStr">
        <is>
          <t>2. Moderately Conservative</t>
        </is>
      </c>
    </row>
    <row r="22">
      <c r="A22" s="7" t="inlineStr">
        <is>
          <t>CL-021</t>
        </is>
      </c>
      <c r="B22" s="7" t="n">
        <v>2</v>
      </c>
      <c r="C22" s="7" t="n">
        <v>5</v>
      </c>
      <c r="D22" s="7" t="n">
        <v>4</v>
      </c>
      <c r="E22" s="7" t="n">
        <v>0</v>
      </c>
      <c r="F22" s="7" t="n">
        <v>4</v>
      </c>
      <c r="G22" s="7" t="n">
        <v>0</v>
      </c>
      <c r="H22" s="7" t="n">
        <v>4</v>
      </c>
      <c r="I22" s="7" t="n">
        <v>1</v>
      </c>
      <c r="J22" s="7" t="n">
        <v>1</v>
      </c>
      <c r="K22" s="7" t="n">
        <v>21</v>
      </c>
      <c r="L22" s="7" t="inlineStr">
        <is>
          <t>2. Moderately Conservative</t>
        </is>
      </c>
    </row>
    <row r="23">
      <c r="A23" s="7" t="inlineStr">
        <is>
          <t>CL-022</t>
        </is>
      </c>
      <c r="B23" s="7" t="n">
        <v>2</v>
      </c>
      <c r="C23" s="7" t="n">
        <v>4</v>
      </c>
      <c r="D23" s="7" t="n">
        <v>4</v>
      </c>
      <c r="E23" s="7" t="n">
        <v>4</v>
      </c>
      <c r="F23" s="7" t="n">
        <v>1</v>
      </c>
      <c r="G23" s="7" t="n">
        <v>2</v>
      </c>
      <c r="H23" s="7" t="n">
        <v>4</v>
      </c>
      <c r="I23" s="7" t="n">
        <v>1</v>
      </c>
      <c r="J23" s="7" t="n">
        <v>3</v>
      </c>
      <c r="K23" s="7" t="n">
        <v>25</v>
      </c>
      <c r="L23" s="7" t="inlineStr">
        <is>
          <t>3. Balanced/Moderate</t>
        </is>
      </c>
    </row>
    <row r="24">
      <c r="A24" s="7" t="inlineStr">
        <is>
          <t>CL-023</t>
        </is>
      </c>
      <c r="B24" s="7" t="n">
        <v>2</v>
      </c>
      <c r="C24" s="7" t="n">
        <v>2</v>
      </c>
      <c r="D24" s="7" t="n">
        <v>4</v>
      </c>
      <c r="E24" s="7" t="n">
        <v>0</v>
      </c>
      <c r="F24" s="7" t="n">
        <v>1</v>
      </c>
      <c r="G24" s="7" t="n">
        <v>5</v>
      </c>
      <c r="H24" s="7" t="n">
        <v>0</v>
      </c>
      <c r="I24" s="7" t="n">
        <v>5</v>
      </c>
      <c r="J24" s="7" t="n">
        <v>0</v>
      </c>
      <c r="K24" s="7" t="n">
        <v>19</v>
      </c>
      <c r="L24" s="7" t="inlineStr">
        <is>
          <t>2. Moderately Conservative</t>
        </is>
      </c>
    </row>
    <row r="25">
      <c r="A25" s="7" t="inlineStr">
        <is>
          <t>CL-024</t>
        </is>
      </c>
      <c r="B25" s="7" t="n">
        <v>4</v>
      </c>
      <c r="C25" s="7" t="n">
        <v>1</v>
      </c>
      <c r="D25" s="7" t="n">
        <v>1</v>
      </c>
      <c r="E25" s="7" t="n">
        <v>0</v>
      </c>
      <c r="F25" s="7" t="n">
        <v>4</v>
      </c>
      <c r="G25" s="7" t="n">
        <v>5</v>
      </c>
      <c r="H25" s="7" t="n">
        <v>4</v>
      </c>
      <c r="I25" s="7" t="n">
        <v>5</v>
      </c>
      <c r="J25" s="7" t="n">
        <v>4</v>
      </c>
      <c r="K25" s="7" t="n">
        <v>28</v>
      </c>
      <c r="L25" s="7" t="inlineStr">
        <is>
          <t>3. Balanced/Moderate</t>
        </is>
      </c>
    </row>
    <row r="26">
      <c r="A26" s="7" t="inlineStr">
        <is>
          <t>CL-025</t>
        </is>
      </c>
      <c r="B26" s="7" t="n">
        <v>2</v>
      </c>
      <c r="C26" s="7" t="n">
        <v>1</v>
      </c>
      <c r="D26" s="7" t="n">
        <v>2</v>
      </c>
      <c r="E26" s="7" t="n">
        <v>2</v>
      </c>
      <c r="F26" s="7" t="n">
        <v>1</v>
      </c>
      <c r="G26" s="7" t="n">
        <v>0</v>
      </c>
      <c r="H26" s="7" t="n">
        <v>0</v>
      </c>
      <c r="I26" s="7" t="n">
        <v>1</v>
      </c>
      <c r="J26" s="7" t="n">
        <v>4</v>
      </c>
      <c r="K26" s="7" t="n">
        <v>13</v>
      </c>
      <c r="L26" s="7" t="inlineStr">
        <is>
          <t>1. Conservative</t>
        </is>
      </c>
    </row>
  </sheetData>
  <autoFilter ref="A1:L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</cols>
  <sheetData>
    <row r="2">
      <c r="B2" s="1" t="inlineStr">
        <is>
          <t>Client Book Dashboard</t>
        </is>
      </c>
    </row>
    <row r="4">
      <c r="B4" s="3" t="inlineStr">
        <is>
          <t>Distribution of Clients by Risk Profile</t>
        </is>
      </c>
    </row>
    <row r="5">
      <c r="B5" s="10" t="inlineStr">
        <is>
          <t>Risk Profile</t>
        </is>
      </c>
      <c r="C5" s="10" t="inlineStr">
        <is>
          <t># Clients</t>
        </is>
      </c>
    </row>
    <row r="6">
      <c r="B6" s="7" t="inlineStr">
        <is>
          <t>1. Conservative</t>
        </is>
      </c>
      <c r="C6" s="7" t="n">
        <v>2</v>
      </c>
    </row>
    <row r="7">
      <c r="B7" s="7" t="inlineStr">
        <is>
          <t>2. Moderately Conservative</t>
        </is>
      </c>
      <c r="C7" s="7" t="n">
        <v>9</v>
      </c>
    </row>
    <row r="8">
      <c r="B8" s="7" t="inlineStr">
        <is>
          <t>3. Balanced/Moderate</t>
        </is>
      </c>
      <c r="C8" s="7" t="n">
        <v>12</v>
      </c>
    </row>
    <row r="9">
      <c r="B9" s="7" t="inlineStr">
        <is>
          <t>4. Growth-Oriented</t>
        </is>
      </c>
      <c r="C9" s="7" t="n">
        <v>2</v>
      </c>
    </row>
    <row r="10">
      <c r="B10" s="7" t="inlineStr">
        <is>
          <t>5. Aggressive Growth</t>
        </is>
      </c>
      <c r="C10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5" t="inlineStr">
        <is>
          <t>1. The scoring model deliberately separates RISK CAPACITY (age, horizon, income stability, emergency fund,</t>
        </is>
      </c>
    </row>
    <row r="5">
      <c r="B5" s="15" t="inlineStr">
        <is>
          <t xml:space="preserve">   dependents - objective facts about the investor's situation) from RISK TOLERANCE (loss reaction, experience,</t>
        </is>
      </c>
    </row>
    <row r="6">
      <c r="B6" s="15" t="inlineStr">
        <is>
          <t xml:space="preserve">   growth priority - psychological willingness to take risk). A robust robo-advisor should never let a high risk</t>
        </is>
      </c>
    </row>
    <row r="7">
      <c r="B7" s="15" t="inlineStr">
        <is>
          <t xml:space="preserve">   TOLERANCE override a low risk CAPACITY (e.g. a thrill-seeking retiree with no emergency fund should still land</t>
        </is>
      </c>
    </row>
    <row r="8">
      <c r="B8" s="15" t="inlineStr">
        <is>
          <t xml:space="preserve">   in a conservative band) - this is why both dimensions are combined into one score rather than scored separately.</t>
        </is>
      </c>
    </row>
    <row r="9">
      <c r="B9" s="15" t="inlineStr">
        <is>
          <t>2. In the 25-client simulation, most synthetic clients cluster in 'Balanced/Moderate' and 'Growth-Oriented' -</t>
        </is>
      </c>
    </row>
    <row r="10">
      <c r="B10" s="15" t="inlineStr">
        <is>
          <t xml:space="preserve">   consistent with what digital wealth platforms typically see in practice: few clients are at the true extremes.</t>
        </is>
      </c>
    </row>
    <row r="11">
      <c r="B11" s="15" t="inlineStr">
        <is>
          <t>3. The Shariah-preference question is captured but deliberately NOT scored into the risk total - it should instead</t>
        </is>
      </c>
    </row>
    <row r="12">
      <c r="B12" s="15" t="inlineStr">
        <is>
          <t xml:space="preserve">   filter which fund universe (conventional vs. KMI-30/Islamic) is used to build the actual portfolio, since being</t>
        </is>
      </c>
    </row>
    <row r="13">
      <c r="B13" s="15" t="inlineStr">
        <is>
          <t xml:space="preserve">   Shariah-compliant is an ethical/religious constraint, not a risk-tolerance signal - conflating the two is a</t>
        </is>
      </c>
    </row>
    <row r="14">
      <c r="B14" s="15" t="inlineStr">
        <is>
          <t xml:space="preserve">   common design mistake in simpler robo-advisor questionnaires.</t>
        </is>
      </c>
    </row>
    <row r="15">
      <c r="B15" s="15" t="inlineStr">
        <is>
          <t>4. RECOMMENDATION: Pakistan's mutual fund penetration (well under 1% of GDP per MUFAP/SECP data) could be</t>
        </is>
      </c>
    </row>
    <row r="16">
      <c r="B16" s="15" t="inlineStr">
        <is>
          <t xml:space="preserve">   meaningfully improved by embedding a questionnaire like this directly at the point of account opening for</t>
        </is>
      </c>
    </row>
    <row r="17">
      <c r="B17" s="15" t="inlineStr">
        <is>
          <t xml:space="preserve">   digital wallets (JazzCash, Easypaisa) and neobank apps, turning idle wallet balances into the first rupee of</t>
        </is>
      </c>
    </row>
    <row r="18">
      <c r="B18" s="15" t="inlineStr">
        <is>
          <t xml:space="preserve">   long-term investment for millions of previously unbanked users.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2026-09-13T12:11:58Z</dcterms:created>
  <dcterms:modified xsi:type="dcterms:W3CDTF">2026-09-13T12:11:58Z</dcterms:modified>
</cp:coreProperties>
</file>