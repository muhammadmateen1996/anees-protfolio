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Income Statement" sheetId="3" state="visible" r:id="rId3"/>
    <sheet name="Balance Sheet" sheetId="4" state="visible" r:id="rId4"/>
    <sheet name="Cash Flow Statement" sheetId="5" state="visible" r:id="rId5"/>
    <sheet name="DCF Valuation" sheetId="6" state="visible" r:id="rId6"/>
    <sheet name="Sensitivity" sheetId="7" state="visible" r:id="rId7"/>
    <sheet name="Dashboard" sheetId="8" state="visible" r:id="rId8"/>
    <sheet name="Insigh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12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10"/>
    </font>
    <font>
      <b val="1"/>
      <color rgb="001F3864"/>
      <sz val="12"/>
    </font>
    <font>
      <sz val="10"/>
    </font>
    <font>
      <b val="1"/>
      <color rgb="00FFFFFF"/>
      <sz val="11"/>
    </font>
    <font>
      <b val="1"/>
      <color rgb="001F3864"/>
    </font>
    <font/>
    <font>
      <b val="1"/>
    </font>
    <font>
      <i val="1"/>
      <color rgb="00888888"/>
      <sz val="9"/>
    </font>
    <font>
      <b val="1"/>
      <color rgb="00FFFFFF"/>
    </font>
    <font>
      <sz val="10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3" fontId="0" fillId="3" borderId="1" pivotButton="0" quotePrefix="0" xfId="0"/>
    <xf numFmtId="164" fontId="0" fillId="3" borderId="1" pivotButton="0" quotePrefix="0" xfId="0"/>
    <xf numFmtId="1" fontId="0" fillId="3" borderId="1" pivotButton="0" quotePrefix="0" xfId="0"/>
    <xf numFmtId="9" fontId="0" fillId="3" borderId="1" pivotButton="0" quotePrefix="0" xfId="0"/>
    <xf numFmtId="2" fontId="0" fillId="3" borderId="1" pivotButton="0" quotePrefix="0" xfId="0"/>
    <xf numFmtId="165" fontId="0" fillId="3" borderId="1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3" fontId="0" fillId="0" borderId="1" pivotButton="0" quotePrefix="0" xfId="0"/>
    <xf numFmtId="0" fontId="8" fillId="0" borderId="0" pivotButton="0" quotePrefix="0" xfId="0"/>
    <xf numFmtId="3" fontId="8" fillId="0" borderId="1" pivotButton="0" quotePrefix="0" xfId="0"/>
    <xf numFmtId="2" fontId="8" fillId="0" borderId="1" pivotButton="0" quotePrefix="0" xfId="0"/>
    <xf numFmtId="166" fontId="0" fillId="0" borderId="1" pivotButton="0" quotePrefix="0" xfId="0"/>
    <xf numFmtId="3" fontId="8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9" fontId="5" fillId="2" borderId="1" applyAlignment="1" pivotButton="0" quotePrefix="0" xfId="0">
      <alignment horizontal="center" vertical="center" wrapText="1"/>
    </xf>
    <xf numFmtId="9" fontId="10" fillId="2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Free Cash Flow to Equity by Year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'DCF Valuation'!$C$5:$G$5</f>
            </numRef>
          </cat>
          <val>
            <numRef>
              <f>'DCF Valuation'!$C$11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'DCF Valuation'!$C$5:$G$5</f>
            </numRef>
          </cat>
          <val>
            <numRef>
              <f>'DCF Valuation'!$D$11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'DCF Valuation'!$C$5:$G$5</f>
            </numRef>
          </cat>
          <val>
            <numRef>
              <f>'DCF Valuation'!$E$11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'DCF Valuation'!$C$5:$G$5</f>
            </numRef>
          </cat>
          <val>
            <numRef>
              <f>'DCF Valuation'!$F$11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'DCF Valuation'!$C$5:$G$5</f>
            </numRef>
          </cat>
          <val>
            <numRef>
              <f>'DCF Valuation'!$G$11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Revenue, EBITDA &amp; Net Income Trend (PKR)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'Dashboard'!$C$4:$G$4</f>
            </numRef>
          </cat>
          <val>
            <numRef>
              <f>'Dashboard'!$C$5:$G$5</f>
            </numRef>
          </val>
        </ser>
        <ser>
          <idx val="1"/>
          <order val="1"/>
          <tx>
            <strRef>
              <f>'Dashboard'!B6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'Dashboard'!$C$4:$G$4</f>
            </numRef>
          </cat>
          <val>
            <numRef>
              <f>'Dashboard'!$C$6:$G$6</f>
            </numRef>
          </val>
        </ser>
        <ser>
          <idx val="2"/>
          <order val="2"/>
          <tx>
            <strRef>
              <f>'Dashboard'!B7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'Dashboard'!$C$4:$G$4</f>
            </numRef>
          </cat>
          <val>
            <numRef>
              <f>'Dashboard'!$C$7:$G$7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24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Fintech Startup 3-Statement Model &amp; DCF Valuation</t>
        </is>
      </c>
    </row>
    <row r="3">
      <c r="B3" s="2" t="inlineStr">
        <is>
          <t>'PaySetu' - a hypothetical Pakistani BNPL/digital-lending startup: fully linked 5-year financial model + valuation</t>
        </is>
      </c>
    </row>
    <row r="5">
      <c r="B5" s="3" t="inlineStr">
        <is>
          <t>PURPOSE</t>
        </is>
      </c>
    </row>
    <row r="6">
      <c r="B6" s="4" t="inlineStr">
        <is>
          <t>Every fintech lender or BNPL (buy-now-pay-later) startup faces the same structural challenge that makes it</t>
        </is>
      </c>
    </row>
    <row r="7">
      <c r="B7" s="4" t="inlineStr">
        <is>
          <t>different from a typical SaaS or e-commerce business: to grow revenue, it must fund a growing book of customer</t>
        </is>
      </c>
    </row>
    <row r="8">
      <c r="B8" s="4" t="inlineStr">
        <is>
          <t>receivables on its own balance sheet, which consumes far more cash than an ordinary working-capital cycle -</t>
        </is>
      </c>
    </row>
    <row r="9">
      <c r="B9" s="4" t="inlineStr">
        <is>
          <t>and that cash need has to be modelled explicitly, or a founder/analyst will badly misjudge how much funding the</t>
        </is>
      </c>
    </row>
    <row r="10">
      <c r="B10" s="4" t="inlineStr">
        <is>
          <t>business actually needs and when. This project builds a fully linked 3-statement model (Income Statement,</t>
        </is>
      </c>
    </row>
    <row r="11">
      <c r="B11" s="4" t="inlineStr">
        <is>
          <t>Balance Sheet, Cash Flow Statement) for a hypothetical Pakistani BNPL startup, 'PaySetu', and then values it</t>
        </is>
      </c>
    </row>
    <row r="12">
      <c r="B12" s="4" t="inlineStr">
        <is>
          <t>with a discounted cash flow (DCF) approach adapted correctly for a balance-sheet-heavy lending business.</t>
        </is>
      </c>
    </row>
    <row r="14">
      <c r="B14" s="3" t="inlineStr">
        <is>
          <t>HOW THE MODEL IS BUILT</t>
        </is>
      </c>
    </row>
    <row r="15">
      <c r="B15" s="4" t="inlineStr">
        <is>
          <t>1. 'Assumptions' - every driver (user growth, revenue take rate, cost of funds, opex, capex, financing) in one</t>
        </is>
      </c>
    </row>
    <row r="16">
      <c r="B16" s="4" t="inlineStr">
        <is>
          <t xml:space="preserve">   place, so the whole model can be re-run instantly by changing a single cell.</t>
        </is>
      </c>
    </row>
    <row r="17">
      <c r="B17" s="4" t="inlineStr">
        <is>
          <t>2. 'Income Statement' - Revenue is built bottom-up from active users x GMV/user x take rate; funding cost is</t>
        </is>
      </c>
    </row>
    <row r="18">
      <c r="B18" s="4" t="inlineStr">
        <is>
          <t xml:space="preserve">   charged on the RECEIVABLES BALANCE (not total GMV) at an annual cost-of-funds rate, which is the correct way</t>
        </is>
      </c>
    </row>
    <row r="19">
      <c r="B19" s="4" t="inlineStr">
        <is>
          <t xml:space="preserve">   to cost a short-tenor lending book; EBITDA, D&amp;A, EBIT, interest, tax and Net Income follow.</t>
        </is>
      </c>
    </row>
    <row r="20">
      <c r="B20" s="4" t="inlineStr">
        <is>
          <t>3. 'Balance Sheet' - receivables are funded mostly by an asset-backed 'warehouse' debt facility (85% advance</t>
        </is>
      </c>
    </row>
    <row r="21">
      <c r="B21" s="4" t="inlineStr">
        <is>
          <t xml:space="preserve">   rate, the standard BNPL financing structure), with equity funding the operating loss and a cash buffer, not</t>
        </is>
      </c>
    </row>
    <row r="22">
      <c r="B22" s="4" t="inlineStr">
        <is>
          <t xml:space="preserve">   the receivables themselves. All three statements are properly double-entry linked, so the balance-sheet</t>
        </is>
      </c>
    </row>
    <row r="23">
      <c r="B23" s="4" t="inlineStr">
        <is>
          <t xml:space="preserve">   CHECK row (Total Assets - Total Liabilities - Total Equity) computes to zero every year BY FORMULA, not by</t>
        </is>
      </c>
    </row>
    <row r="24">
      <c r="B24" s="4" t="inlineStr">
        <is>
          <t xml:space="preserve">   plugging a number - the single most important integrity test of any 3-statement model.</t>
        </is>
      </c>
    </row>
    <row r="25">
      <c r="B25" s="4" t="inlineStr">
        <is>
          <t>4. 'Cash Flow Statement' - reconciles Net Income to the cash that actually lands on the balance sheet.</t>
        </is>
      </c>
    </row>
    <row r="26">
      <c r="B26" s="4" t="inlineStr">
        <is>
          <t>5. 'DCF Valuation' - values the business using FREE CASH FLOW TO EQUITY (FCFE), discounted at the Cost of</t>
        </is>
      </c>
    </row>
    <row r="27">
      <c r="B27" s="4" t="inlineStr">
        <is>
          <t xml:space="preserve">   Equity (via CAPM), NOT a standard unlevered-FCF/WACC DCF. This is a deliberate, important modelling choice -</t>
        </is>
      </c>
    </row>
    <row r="28">
      <c r="B28" s="4" t="inlineStr">
        <is>
          <t xml:space="preserve">   see the note on the DCF sheet for why.</t>
        </is>
      </c>
    </row>
    <row r="29">
      <c r="B29" s="4" t="inlineStr">
        <is>
          <t>6. 'Sensitivity' - equity value across a grid of Cost of Equity and terminal growth assumptions.</t>
        </is>
      </c>
    </row>
    <row r="31">
      <c r="B31" s="3" t="inlineStr">
        <is>
          <t>WHY FCFE, NOT A STANDARD UNLEVERED DCF</t>
        </is>
      </c>
    </row>
    <row r="32">
      <c r="B32" s="4" t="inlineStr">
        <is>
          <t>A standard DCF discounts unlevered free cash flow (which treats the receivables build-up as if it were funded</t>
        </is>
      </c>
    </row>
    <row r="33">
      <c r="B33" s="4" t="inlineStr">
        <is>
          <t>entirely by the firm's blended capital) at WACC. For a lending/BNPL business, that double-penalises the model:</t>
        </is>
      </c>
    </row>
    <row r="34">
      <c r="B34" s="4" t="inlineStr">
        <is>
          <t>receivables growth is already matched-funded by the warehouse debt facility on the balance sheet, so charging</t>
        </is>
      </c>
    </row>
    <row r="35">
      <c r="B35" s="4" t="inlineStr">
        <is>
          <t>the full receivables increase against unlevered FCF (which assumes no debt funding) understates cash flow and</t>
        </is>
      </c>
    </row>
    <row r="36">
      <c r="B36" s="4" t="inlineStr">
        <is>
          <t>can even produce a nonsensical negative enterprise value for a genuinely valuable, growing lender. The standard</t>
        </is>
      </c>
    </row>
    <row r="37">
      <c r="B37" s="4" t="inlineStr">
        <is>
          <t>practice for valuing lending fintechs (and how banks/lenders are generally valued) is to discount FREE CASH FLOW</t>
        </is>
      </c>
    </row>
    <row r="38">
      <c r="B38" s="4" t="inlineStr">
        <is>
          <t>TO EQUITY - which nets the debt-funded portion of receivables growth against the matching debt draw - at the</t>
        </is>
      </c>
    </row>
    <row r="39">
      <c r="B39" s="4" t="inlineStr">
        <is>
          <t>COST OF EQUITY, arriving directly at an equity value. This workbook deliberately builds it the correct way and</t>
        </is>
      </c>
    </row>
    <row r="40">
      <c r="B40" s="4" t="inlineStr">
        <is>
          <t>explains why, rather than presenting a naive DCF that would give a misleading answer.</t>
        </is>
      </c>
    </row>
    <row r="42">
      <c r="B42" s="3" t="inlineStr">
        <is>
          <t>DATA NOTE</t>
        </is>
      </c>
    </row>
    <row r="43">
      <c r="B43" s="4" t="inlineStr">
        <is>
          <t>PaySetu, its financials, and all assumptions are entirely hypothetical, built for this modelling exercise. Cost-</t>
        </is>
      </c>
    </row>
    <row r="44">
      <c r="B44" s="4" t="inlineStr">
        <is>
          <t>of-capital inputs (risk-free rate, equity risk premium, cost of debt) are illustrative estimates consistent with</t>
        </is>
      </c>
    </row>
    <row r="45">
      <c r="B45" s="4" t="inlineStr">
        <is>
          <t>Pakistan's historically high interest-rate environment, not live market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Model Assumptions - PaySetu (Hypothetical Pakistani BNPL Fintech)</t>
        </is>
      </c>
    </row>
    <row r="4">
      <c r="B4" s="5" t="inlineStr">
        <is>
          <t>Driver</t>
        </is>
      </c>
      <c r="C4" s="5" t="inlineStr">
        <is>
          <t>Year 1</t>
        </is>
      </c>
      <c r="D4" s="5" t="inlineStr">
        <is>
          <t>Year 2</t>
        </is>
      </c>
      <c r="E4" s="5" t="inlineStr">
        <is>
          <t>Year 3</t>
        </is>
      </c>
      <c r="F4" s="5" t="inlineStr">
        <is>
          <t>Year 4</t>
        </is>
      </c>
      <c r="G4" s="5" t="inlineStr">
        <is>
          <t>Year 5</t>
        </is>
      </c>
    </row>
    <row r="5">
      <c r="B5" t="inlineStr">
        <is>
          <t>Active Users (period end)</t>
        </is>
      </c>
      <c r="C5" s="6" t="n">
        <v>50000</v>
      </c>
      <c r="D5" s="6" t="n">
        <v>180000</v>
      </c>
      <c r="E5" s="6" t="n">
        <v>450000</v>
      </c>
      <c r="F5" s="6" t="n">
        <v>850000</v>
      </c>
      <c r="G5" s="6" t="n">
        <v>1500000</v>
      </c>
    </row>
    <row r="6">
      <c r="B6" t="inlineStr">
        <is>
          <t>New Users Acquired</t>
        </is>
      </c>
      <c r="C6" s="6" t="n">
        <v>50000</v>
      </c>
      <c r="D6" s="6" t="n">
        <v>130000</v>
      </c>
      <c r="E6" s="6" t="n">
        <v>270000</v>
      </c>
      <c r="F6" s="6" t="n">
        <v>400000</v>
      </c>
      <c r="G6" s="6" t="n">
        <v>650000</v>
      </c>
    </row>
    <row r="7">
      <c r="B7" t="inlineStr">
        <is>
          <t>Annual GMV per Active User (PKR)</t>
        </is>
      </c>
      <c r="C7" s="6" t="n">
        <v>8000</v>
      </c>
      <c r="D7" s="6" t="n">
        <v>9000</v>
      </c>
      <c r="E7" s="6" t="n">
        <v>10000</v>
      </c>
      <c r="F7" s="6" t="n">
        <v>11000</v>
      </c>
      <c r="G7" s="6" t="n">
        <v>12000</v>
      </c>
    </row>
    <row r="8">
      <c r="B8" t="inlineStr">
        <is>
          <t>Take Rate (Revenue % of GMV)</t>
        </is>
      </c>
      <c r="C8" s="7" t="n">
        <v>0.06</v>
      </c>
      <c r="D8" s="7" t="n">
        <v>0.065</v>
      </c>
      <c r="E8" s="7" t="n">
        <v>0.07000000000000001</v>
      </c>
      <c r="F8" s="7" t="n">
        <v>0.07199999999999999</v>
      </c>
      <c r="G8" s="7" t="n">
        <v>0.075</v>
      </c>
    </row>
    <row r="9">
      <c r="B9" t="inlineStr">
        <is>
          <t>Cost of Funds Rate (annual, on receivables balance)</t>
        </is>
      </c>
      <c r="C9" s="7" t="n">
        <v>0.16</v>
      </c>
      <c r="D9" s="7" t="n">
        <v>0.15</v>
      </c>
      <c r="E9" s="7" t="n">
        <v>0.14</v>
      </c>
      <c r="F9" s="7" t="n">
        <v>0.13</v>
      </c>
      <c r="G9" s="7" t="n">
        <v>0.12</v>
      </c>
    </row>
    <row r="10">
      <c r="B10" t="inlineStr">
        <is>
          <t>Marketing Cost per New User (PKR)</t>
        </is>
      </c>
      <c r="C10" s="6" t="n">
        <v>700</v>
      </c>
      <c r="D10" s="6" t="n">
        <v>550</v>
      </c>
      <c r="E10" s="6" t="n">
        <v>450</v>
      </c>
      <c r="F10" s="6" t="n">
        <v>380</v>
      </c>
      <c r="G10" s="6" t="n">
        <v>320</v>
      </c>
    </row>
    <row r="11">
      <c r="B11" t="inlineStr">
        <is>
          <t>Tech + G&amp;A Cost (PKR)</t>
        </is>
      </c>
      <c r="C11" s="6" t="n">
        <v>35000000</v>
      </c>
      <c r="D11" s="6" t="n">
        <v>55000000</v>
      </c>
      <c r="E11" s="6" t="n">
        <v>80000000</v>
      </c>
      <c r="F11" s="6" t="n">
        <v>110000000</v>
      </c>
      <c r="G11" s="6" t="n">
        <v>145000000</v>
      </c>
    </row>
    <row r="12">
      <c r="B12" t="inlineStr">
        <is>
          <t>Receivables Days Outstanding</t>
        </is>
      </c>
      <c r="C12" s="8" t="n">
        <v>25</v>
      </c>
      <c r="D12" s="8" t="n">
        <v>25</v>
      </c>
      <c r="E12" s="8" t="n">
        <v>25</v>
      </c>
      <c r="F12" s="8" t="n">
        <v>25</v>
      </c>
      <c r="G12" s="8" t="n">
        <v>25</v>
      </c>
    </row>
    <row r="13">
      <c r="B13" t="inlineStr">
        <is>
          <t>Payables (% of Opex)</t>
        </is>
      </c>
      <c r="C13" s="9" t="n">
        <v>0.1</v>
      </c>
      <c r="D13" s="9" t="n">
        <v>0.1</v>
      </c>
      <c r="E13" s="9" t="n">
        <v>0.1</v>
      </c>
      <c r="F13" s="9" t="n">
        <v>0.1</v>
      </c>
      <c r="G13" s="9" t="n">
        <v>0.1</v>
      </c>
    </row>
    <row r="14">
      <c r="B14" t="inlineStr">
        <is>
          <t>Capex (PKR)</t>
        </is>
      </c>
      <c r="C14" s="6" t="n">
        <v>12000000</v>
      </c>
      <c r="D14" s="6" t="n">
        <v>16000000</v>
      </c>
      <c r="E14" s="6" t="n">
        <v>20000000</v>
      </c>
      <c r="F14" s="6" t="n">
        <v>24000000</v>
      </c>
      <c r="G14" s="6" t="n">
        <v>28000000</v>
      </c>
    </row>
    <row r="15">
      <c r="B15" t="inlineStr">
        <is>
          <t>Warehouse Debt Advance Rate (% of Receivables)</t>
        </is>
      </c>
      <c r="C15" s="9" t="n">
        <v>0.85</v>
      </c>
      <c r="D15" s="9" t="n">
        <v>0.85</v>
      </c>
      <c r="E15" s="9" t="n">
        <v>0.85</v>
      </c>
      <c r="F15" s="9" t="n">
        <v>0.85</v>
      </c>
      <c r="G15" s="9" t="n">
        <v>0.85</v>
      </c>
    </row>
    <row r="16">
      <c r="B16" t="inlineStr">
        <is>
          <t>New Equity Raised (PKR)</t>
        </is>
      </c>
      <c r="C16" s="6" t="n">
        <v>90000000</v>
      </c>
      <c r="D16" s="6" t="n">
        <v>70000000</v>
      </c>
      <c r="E16" s="6" t="n">
        <v>60000000</v>
      </c>
      <c r="F16" s="6" t="n">
        <v>0</v>
      </c>
      <c r="G16" s="6" t="n">
        <v>0</v>
      </c>
    </row>
    <row r="18">
      <c r="B18" s="3" t="inlineStr">
        <is>
          <t>Single-Value Assumptions</t>
        </is>
      </c>
    </row>
    <row r="19">
      <c r="B19" t="inlineStr">
        <is>
          <t>Depreciation Life (years, straight-line)</t>
        </is>
      </c>
      <c r="C19" s="8" t="n">
        <v>4</v>
      </c>
    </row>
    <row r="20">
      <c r="B20" t="inlineStr">
        <is>
          <t>Corporate Tax Rate</t>
        </is>
      </c>
      <c r="C20" s="9" t="n">
        <v>0.29</v>
      </c>
    </row>
    <row r="21">
      <c r="B21" t="inlineStr">
        <is>
          <t>Cost of Debt (annual interest rate)</t>
        </is>
      </c>
      <c r="C21" s="9" t="n">
        <v>0.16</v>
      </c>
    </row>
    <row r="22">
      <c r="B22" t="inlineStr">
        <is>
          <t>Risk-Free Rate (Rf, PKR long bond proxy)</t>
        </is>
      </c>
      <c r="C22" s="9" t="n">
        <v>0.12</v>
      </c>
    </row>
    <row r="23">
      <c r="B23" t="inlineStr">
        <is>
          <t>Equity Beta (fintech growth-stage proxy)</t>
        </is>
      </c>
      <c r="C23" s="10" t="n">
        <v>1.3</v>
      </c>
    </row>
    <row r="24">
      <c r="B24" t="inlineStr">
        <is>
          <t>Equity Risk Premium (Pakistan, illustrative)</t>
        </is>
      </c>
      <c r="C24" s="9" t="n">
        <v>0.08</v>
      </c>
    </row>
    <row r="25">
      <c r="B25" t="inlineStr">
        <is>
          <t>Terminal Growth Rate (perpetuity, nominal PKR)</t>
        </is>
      </c>
      <c r="C25" s="9" t="n">
        <v>0.08</v>
      </c>
    </row>
    <row r="26">
      <c r="B26" t="inlineStr">
        <is>
          <t>Shares Outstanding (illustrative cap table, millions)</t>
        </is>
      </c>
      <c r="C26" s="11" t="n">
        <v>10</v>
      </c>
    </row>
    <row r="27">
      <c r="B27" s="12" t="inlineStr">
        <is>
          <t>Cost of Equity (CAPM: Rf + Beta x ERP)</t>
        </is>
      </c>
      <c r="C27" s="13">
        <f>C22+C23*C24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Income Statement (PKR)</t>
        </is>
      </c>
    </row>
    <row r="4">
      <c r="B4" s="5" t="inlineStr">
        <is>
          <t>Line Item</t>
        </is>
      </c>
      <c r="C4" s="5" t="inlineStr">
        <is>
          <t>Year 1</t>
        </is>
      </c>
      <c r="D4" s="5" t="inlineStr">
        <is>
          <t>Year 2</t>
        </is>
      </c>
      <c r="E4" s="5" t="inlineStr">
        <is>
          <t>Year 3</t>
        </is>
      </c>
      <c r="F4" s="5" t="inlineStr">
        <is>
          <t>Year 4</t>
        </is>
      </c>
      <c r="G4" s="5" t="inlineStr">
        <is>
          <t>Year 5</t>
        </is>
      </c>
    </row>
    <row r="5">
      <c r="B5" s="14" t="inlineStr">
        <is>
          <t>Gross Merchandise/Loan Value (GMV)</t>
        </is>
      </c>
      <c r="C5" s="15">
        <f>Assumptions!C5*Assumptions!C7</f>
        <v/>
      </c>
      <c r="D5" s="15">
        <f>Assumptions!D5*Assumptions!D7</f>
        <v/>
      </c>
      <c r="E5" s="15">
        <f>Assumptions!E5*Assumptions!E7</f>
        <v/>
      </c>
      <c r="F5" s="15">
        <f>Assumptions!F5*Assumptions!F7</f>
        <v/>
      </c>
      <c r="G5" s="15">
        <f>Assumptions!G5*Assumptions!G7</f>
        <v/>
      </c>
    </row>
    <row r="6">
      <c r="B6" s="16" t="inlineStr">
        <is>
          <t>Revenue (Take Rate x GMV)</t>
        </is>
      </c>
      <c r="C6" s="17">
        <f>C5*Assumptions!C8</f>
        <v/>
      </c>
      <c r="D6" s="17">
        <f>D5*Assumptions!D8</f>
        <v/>
      </c>
      <c r="E6" s="17">
        <f>E5*Assumptions!E8</f>
        <v/>
      </c>
      <c r="F6" s="17">
        <f>F5*Assumptions!F8</f>
        <v/>
      </c>
      <c r="G6" s="17">
        <f>G5*Assumptions!G8</f>
        <v/>
      </c>
    </row>
    <row r="7">
      <c r="B7" s="14" t="inlineStr">
        <is>
          <t>Receivables Balance (GMV x Days/365)</t>
        </is>
      </c>
      <c r="C7" s="15">
        <f>C5*Assumptions!C12/365</f>
        <v/>
      </c>
      <c r="D7" s="15">
        <f>D5*Assumptions!D12/365</f>
        <v/>
      </c>
      <c r="E7" s="15">
        <f>E5*Assumptions!E12/365</f>
        <v/>
      </c>
      <c r="F7" s="15">
        <f>F5*Assumptions!F12/365</f>
        <v/>
      </c>
      <c r="G7" s="15">
        <f>G5*Assumptions!G12/365</f>
        <v/>
      </c>
    </row>
    <row r="8">
      <c r="B8" s="14" t="inlineStr">
        <is>
          <t>Funding Cost (Cost of Funds x Receivables)</t>
        </is>
      </c>
      <c r="C8" s="15">
        <f>C7*Assumptions!C9</f>
        <v/>
      </c>
      <c r="D8" s="15">
        <f>D7*Assumptions!D9</f>
        <v/>
      </c>
      <c r="E8" s="15">
        <f>E7*Assumptions!E9</f>
        <v/>
      </c>
      <c r="F8" s="15">
        <f>F7*Assumptions!F9</f>
        <v/>
      </c>
      <c r="G8" s="15">
        <f>G7*Assumptions!G9</f>
        <v/>
      </c>
    </row>
    <row r="9">
      <c r="B9" s="16" t="inlineStr">
        <is>
          <t>Gross Profit</t>
        </is>
      </c>
      <c r="C9" s="17">
        <f>C6-C8</f>
        <v/>
      </c>
      <c r="D9" s="17">
        <f>D6-D8</f>
        <v/>
      </c>
      <c r="E9" s="17">
        <f>E6-E8</f>
        <v/>
      </c>
      <c r="F9" s="17">
        <f>F6-F8</f>
        <v/>
      </c>
      <c r="G9" s="17">
        <f>G6-G8</f>
        <v/>
      </c>
    </row>
    <row r="10">
      <c r="B10" s="14" t="inlineStr">
        <is>
          <t>Marketing / Customer Acquisition Cost</t>
        </is>
      </c>
      <c r="C10" s="15">
        <f>Assumptions!C6*Assumptions!C10</f>
        <v/>
      </c>
      <c r="D10" s="15">
        <f>Assumptions!D6*Assumptions!D10</f>
        <v/>
      </c>
      <c r="E10" s="15">
        <f>Assumptions!E6*Assumptions!E10</f>
        <v/>
      </c>
      <c r="F10" s="15">
        <f>Assumptions!F6*Assumptions!F10</f>
        <v/>
      </c>
      <c r="G10" s="15">
        <f>Assumptions!G6*Assumptions!G10</f>
        <v/>
      </c>
    </row>
    <row r="11">
      <c r="B11" s="14" t="inlineStr">
        <is>
          <t>Technology + G&amp;A Cost</t>
        </is>
      </c>
      <c r="C11" s="15">
        <f>Assumptions!C11</f>
        <v/>
      </c>
      <c r="D11" s="15">
        <f>Assumptions!D11</f>
        <v/>
      </c>
      <c r="E11" s="15">
        <f>Assumptions!E11</f>
        <v/>
      </c>
      <c r="F11" s="15">
        <f>Assumptions!F11</f>
        <v/>
      </c>
      <c r="G11" s="15">
        <f>Assumptions!G11</f>
        <v/>
      </c>
    </row>
    <row r="12">
      <c r="B12" s="14" t="inlineStr">
        <is>
          <t>Total Opex</t>
        </is>
      </c>
      <c r="C12" s="15">
        <f>C10+C11</f>
        <v/>
      </c>
      <c r="D12" s="15">
        <f>D10+D11</f>
        <v/>
      </c>
      <c r="E12" s="15">
        <f>E10+E11</f>
        <v/>
      </c>
      <c r="F12" s="15">
        <f>F10+F11</f>
        <v/>
      </c>
      <c r="G12" s="15">
        <f>G10+G11</f>
        <v/>
      </c>
    </row>
    <row r="13">
      <c r="B13" s="16" t="inlineStr">
        <is>
          <t>EBITDA</t>
        </is>
      </c>
      <c r="C13" s="17">
        <f>C9-C12</f>
        <v/>
      </c>
      <c r="D13" s="17">
        <f>D9-D12</f>
        <v/>
      </c>
      <c r="E13" s="17">
        <f>E9-E12</f>
        <v/>
      </c>
      <c r="F13" s="17">
        <f>F9-F12</f>
        <v/>
      </c>
      <c r="G13" s="17">
        <f>G9-G12</f>
        <v/>
      </c>
    </row>
    <row r="14">
      <c r="B14" s="14" t="inlineStr">
        <is>
          <t>Depreciation &amp; Amortisation</t>
        </is>
      </c>
      <c r="C14" s="15">
        <f>IF((0-0)&lt;Assumptions!$C$19,Assumptions!C14/Assumptions!$C$19,0)</f>
        <v/>
      </c>
      <c r="D14" s="15">
        <f>IF((1-0)&lt;Assumptions!$C$19,Assumptions!C14/Assumptions!$C$19,0)+IF((1-1)&lt;Assumptions!$C$19,Assumptions!D14/Assumptions!$C$19,0)</f>
        <v/>
      </c>
      <c r="E14" s="15">
        <f>IF((2-0)&lt;Assumptions!$C$19,Assumptions!C14/Assumptions!$C$19,0)+IF((2-1)&lt;Assumptions!$C$19,Assumptions!D14/Assumptions!$C$19,0)+IF((2-2)&lt;Assumptions!$C$19,Assumptions!E14/Assumptions!$C$19,0)</f>
        <v/>
      </c>
      <c r="F14" s="15">
        <f>IF((3-0)&lt;Assumptions!$C$19,Assumptions!C14/Assumptions!$C$19,0)+IF((3-1)&lt;Assumptions!$C$19,Assumptions!D14/Assumptions!$C$19,0)+IF((3-2)&lt;Assumptions!$C$19,Assumptions!E14/Assumptions!$C$19,0)+IF((3-3)&lt;Assumptions!$C$19,Assumptions!F14/Assumptions!$C$19,0)</f>
        <v/>
      </c>
      <c r="G14" s="15">
        <f>IF((4-0)&lt;Assumptions!$C$19,Assumptions!C14/Assumptions!$C$19,0)+IF((4-1)&lt;Assumptions!$C$19,Assumptions!D14/Assumptions!$C$19,0)+IF((4-2)&lt;Assumptions!$C$19,Assumptions!E14/Assumptions!$C$19,0)+IF((4-3)&lt;Assumptions!$C$19,Assumptions!F14/Assumptions!$C$19,0)+IF((4-4)&lt;Assumptions!$C$19,Assumptions!G14/Assumptions!$C$19,0)</f>
        <v/>
      </c>
    </row>
    <row r="15">
      <c r="B15" s="16" t="inlineStr">
        <is>
          <t>EBIT</t>
        </is>
      </c>
      <c r="C15" s="17">
        <f>C13-C14</f>
        <v/>
      </c>
      <c r="D15" s="17">
        <f>D13-D14</f>
        <v/>
      </c>
      <c r="E15" s="17">
        <f>E13-E14</f>
        <v/>
      </c>
      <c r="F15" s="17">
        <f>F13-F14</f>
        <v/>
      </c>
      <c r="G15" s="17">
        <f>G13-G14</f>
        <v/>
      </c>
    </row>
    <row r="16">
      <c r="B16" s="14" t="inlineStr">
        <is>
          <t>PP&amp;E, Net (memo - rolled forward here for Balance Sheet)</t>
        </is>
      </c>
      <c r="C16" s="15">
        <f>0+Assumptions!C14-C14</f>
        <v/>
      </c>
      <c r="D16" s="15">
        <f>C16+Assumptions!D14-D14</f>
        <v/>
      </c>
      <c r="E16" s="15">
        <f>D16+Assumptions!E14-E14</f>
        <v/>
      </c>
      <c r="F16" s="15">
        <f>E16+Assumptions!F14-F14</f>
        <v/>
      </c>
      <c r="G16" s="15">
        <f>F16+Assumptions!G14-G14</f>
        <v/>
      </c>
    </row>
    <row r="17">
      <c r="B17" s="14" t="inlineStr">
        <is>
          <t>Debt Balance (memo - Warehouse Facility, % of Receivables)</t>
        </is>
      </c>
      <c r="C17" s="15">
        <f>C7*Assumptions!C15</f>
        <v/>
      </c>
      <c r="D17" s="15">
        <f>D7*Assumptions!D15</f>
        <v/>
      </c>
      <c r="E17" s="15">
        <f>E7*Assumptions!E15</f>
        <v/>
      </c>
      <c r="F17" s="15">
        <f>F7*Assumptions!F15</f>
        <v/>
      </c>
      <c r="G17" s="15">
        <f>G7*Assumptions!G15</f>
        <v/>
      </c>
    </row>
    <row r="18">
      <c r="B18" s="14" t="inlineStr">
        <is>
          <t>Interest Expense (on opening debt balance)</t>
        </is>
      </c>
      <c r="C18" s="15">
        <f>0*Assumptions!$C$21</f>
        <v/>
      </c>
      <c r="D18" s="15">
        <f>C17*Assumptions!$C$21</f>
        <v/>
      </c>
      <c r="E18" s="15">
        <f>D17*Assumptions!$C$21</f>
        <v/>
      </c>
      <c r="F18" s="15">
        <f>E17*Assumptions!$C$21</f>
        <v/>
      </c>
      <c r="G18" s="15">
        <f>F17*Assumptions!$C$21</f>
        <v/>
      </c>
    </row>
    <row r="19">
      <c r="B19" s="16" t="inlineStr">
        <is>
          <t>EBT (Pre-Tax Income)</t>
        </is>
      </c>
      <c r="C19" s="17">
        <f>C15-C18</f>
        <v/>
      </c>
      <c r="D19" s="17">
        <f>D15-D18</f>
        <v/>
      </c>
      <c r="E19" s="17">
        <f>E15-E18</f>
        <v/>
      </c>
      <c r="F19" s="17">
        <f>F15-F18</f>
        <v/>
      </c>
      <c r="G19" s="17">
        <f>G15-G18</f>
        <v/>
      </c>
    </row>
    <row r="20">
      <c r="B20" s="14" t="inlineStr">
        <is>
          <t>Tax (on positive EBT only)</t>
        </is>
      </c>
      <c r="C20" s="15">
        <f>MAX(0,C19)*Assumptions!$C$20</f>
        <v/>
      </c>
      <c r="D20" s="15">
        <f>MAX(0,D19)*Assumptions!$C$20</f>
        <v/>
      </c>
      <c r="E20" s="15">
        <f>MAX(0,E19)*Assumptions!$C$20</f>
        <v/>
      </c>
      <c r="F20" s="15">
        <f>MAX(0,F19)*Assumptions!$C$20</f>
        <v/>
      </c>
      <c r="G20" s="15">
        <f>MAX(0,G19)*Assumptions!$C$20</f>
        <v/>
      </c>
    </row>
    <row r="21">
      <c r="B21" s="16" t="inlineStr">
        <is>
          <t>NET INCOME</t>
        </is>
      </c>
      <c r="C21" s="17">
        <f>C19-C20</f>
        <v/>
      </c>
      <c r="D21" s="17">
        <f>D19-D20</f>
        <v/>
      </c>
      <c r="E21" s="17">
        <f>E19-E20</f>
        <v/>
      </c>
      <c r="F21" s="17">
        <f>F19-F20</f>
        <v/>
      </c>
      <c r="G21" s="17">
        <f>G19-G20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Balance Sheet (PKR)</t>
        </is>
      </c>
    </row>
    <row r="4">
      <c r="B4" s="5" t="inlineStr">
        <is>
          <t>Line Item</t>
        </is>
      </c>
      <c r="C4" s="5" t="inlineStr">
        <is>
          <t>Year 1</t>
        </is>
      </c>
      <c r="D4" s="5" t="inlineStr">
        <is>
          <t>Year 2</t>
        </is>
      </c>
      <c r="E4" s="5" t="inlineStr">
        <is>
          <t>Year 3</t>
        </is>
      </c>
      <c r="F4" s="5" t="inlineStr">
        <is>
          <t>Year 4</t>
        </is>
      </c>
      <c r="G4" s="5" t="inlineStr">
        <is>
          <t>Year 5</t>
        </is>
      </c>
    </row>
    <row r="5">
      <c r="B5" s="3" t="inlineStr">
        <is>
          <t>ASSETS</t>
        </is>
      </c>
    </row>
    <row r="6">
      <c r="B6" s="14" t="inlineStr">
        <is>
          <t>Cash</t>
        </is>
      </c>
      <c r="C6" s="15">
        <f>'Cash Flow Statement'!C22</f>
        <v/>
      </c>
      <c r="D6" s="15">
        <f>'Cash Flow Statement'!D22</f>
        <v/>
      </c>
      <c r="E6" s="15">
        <f>'Cash Flow Statement'!E22</f>
        <v/>
      </c>
      <c r="F6" s="15">
        <f>'Cash Flow Statement'!F22</f>
        <v/>
      </c>
      <c r="G6" s="15">
        <f>'Cash Flow Statement'!G22</f>
        <v/>
      </c>
    </row>
    <row r="7">
      <c r="B7" s="14" t="inlineStr">
        <is>
          <t>Receivables</t>
        </is>
      </c>
      <c r="C7" s="15">
        <f>'Income Statement'!C7</f>
        <v/>
      </c>
      <c r="D7" s="15">
        <f>'Income Statement'!D7</f>
        <v/>
      </c>
      <c r="E7" s="15">
        <f>'Income Statement'!E7</f>
        <v/>
      </c>
      <c r="F7" s="15">
        <f>'Income Statement'!F7</f>
        <v/>
      </c>
      <c r="G7" s="15">
        <f>'Income Statement'!G7</f>
        <v/>
      </c>
    </row>
    <row r="8">
      <c r="B8" s="14" t="inlineStr">
        <is>
          <t>PP&amp;E, Net</t>
        </is>
      </c>
      <c r="C8" s="15">
        <f>'Income Statement'!C16</f>
        <v/>
      </c>
      <c r="D8" s="15">
        <f>'Income Statement'!D16</f>
        <v/>
      </c>
      <c r="E8" s="15">
        <f>'Income Statement'!E16</f>
        <v/>
      </c>
      <c r="F8" s="15">
        <f>'Income Statement'!F16</f>
        <v/>
      </c>
      <c r="G8" s="15">
        <f>'Income Statement'!G16</f>
        <v/>
      </c>
    </row>
    <row r="9">
      <c r="B9" s="16" t="inlineStr">
        <is>
          <t>TOTAL ASSETS</t>
        </is>
      </c>
      <c r="C9" s="17">
        <f>C6+C7+C8</f>
        <v/>
      </c>
      <c r="D9" s="17">
        <f>D6+D7+D8</f>
        <v/>
      </c>
      <c r="E9" s="17">
        <f>E6+E7+E8</f>
        <v/>
      </c>
      <c r="F9" s="17">
        <f>F6+F7+F8</f>
        <v/>
      </c>
      <c r="G9" s="17">
        <f>G6+G7+G8</f>
        <v/>
      </c>
    </row>
    <row r="11">
      <c r="B11" s="3" t="inlineStr">
        <is>
          <t>LIABILITIES</t>
        </is>
      </c>
    </row>
    <row r="12">
      <c r="B12" s="14" t="inlineStr">
        <is>
          <t>Payables</t>
        </is>
      </c>
      <c r="C12" s="15">
        <f>'Income Statement'!C12*Assumptions!C13</f>
        <v/>
      </c>
      <c r="D12" s="15">
        <f>'Income Statement'!D12*Assumptions!D13</f>
        <v/>
      </c>
      <c r="E12" s="15">
        <f>'Income Statement'!E12*Assumptions!E13</f>
        <v/>
      </c>
      <c r="F12" s="15">
        <f>'Income Statement'!F12*Assumptions!F13</f>
        <v/>
      </c>
      <c r="G12" s="15">
        <f>'Income Statement'!G12*Assumptions!G13</f>
        <v/>
      </c>
    </row>
    <row r="13">
      <c r="B13" s="14" t="inlineStr">
        <is>
          <t>Debt (Warehouse Facility)</t>
        </is>
      </c>
      <c r="C13" s="15">
        <f>'Income Statement'!C17</f>
        <v/>
      </c>
      <c r="D13" s="15">
        <f>'Income Statement'!D17</f>
        <v/>
      </c>
      <c r="E13" s="15">
        <f>'Income Statement'!E17</f>
        <v/>
      </c>
      <c r="F13" s="15">
        <f>'Income Statement'!F17</f>
        <v/>
      </c>
      <c r="G13" s="15">
        <f>'Income Statement'!G17</f>
        <v/>
      </c>
    </row>
    <row r="14">
      <c r="B14" s="16" t="inlineStr">
        <is>
          <t>TOTAL LIABILITIES</t>
        </is>
      </c>
      <c r="C14" s="17">
        <f>C12+C13</f>
        <v/>
      </c>
      <c r="D14" s="17">
        <f>D12+D13</f>
        <v/>
      </c>
      <c r="E14" s="17">
        <f>E12+E13</f>
        <v/>
      </c>
      <c r="F14" s="17">
        <f>F12+F13</f>
        <v/>
      </c>
      <c r="G14" s="17">
        <f>G12+G13</f>
        <v/>
      </c>
    </row>
    <row r="16">
      <c r="B16" s="3" t="inlineStr">
        <is>
          <t>EQUITY</t>
        </is>
      </c>
    </row>
    <row r="17">
      <c r="B17" s="14" t="inlineStr">
        <is>
          <t>Share Capital (Cumulative Equity Raised)</t>
        </is>
      </c>
      <c r="C17" s="15">
        <f>0+Assumptions!C16</f>
        <v/>
      </c>
      <c r="D17" s="15">
        <f>C17+Assumptions!D16</f>
        <v/>
      </c>
      <c r="E17" s="15">
        <f>D17+Assumptions!E16</f>
        <v/>
      </c>
      <c r="F17" s="15">
        <f>E17+Assumptions!F16</f>
        <v/>
      </c>
      <c r="G17" s="15">
        <f>F17+Assumptions!G16</f>
        <v/>
      </c>
    </row>
    <row r="18">
      <c r="B18" s="14" t="inlineStr">
        <is>
          <t>Retained Earnings (Cumulative Net Income)</t>
        </is>
      </c>
      <c r="C18" s="15">
        <f>0+'Income Statement'!C21</f>
        <v/>
      </c>
      <c r="D18" s="15">
        <f>C18+'Income Statement'!D21</f>
        <v/>
      </c>
      <c r="E18" s="15">
        <f>D18+'Income Statement'!E21</f>
        <v/>
      </c>
      <c r="F18" s="15">
        <f>E18+'Income Statement'!F21</f>
        <v/>
      </c>
      <c r="G18" s="15">
        <f>F18+'Income Statement'!G21</f>
        <v/>
      </c>
    </row>
    <row r="19">
      <c r="B19" s="16" t="inlineStr">
        <is>
          <t>TOTAL EQUITY</t>
        </is>
      </c>
      <c r="C19" s="17">
        <f>C17+C18</f>
        <v/>
      </c>
      <c r="D19" s="17">
        <f>D17+D18</f>
        <v/>
      </c>
      <c r="E19" s="17">
        <f>E17+E18</f>
        <v/>
      </c>
      <c r="F19" s="17">
        <f>F17+F18</f>
        <v/>
      </c>
      <c r="G19" s="17">
        <f>G17+G18</f>
        <v/>
      </c>
    </row>
    <row r="21">
      <c r="B21" s="16" t="inlineStr">
        <is>
          <t>CHECK: Total Assets - (Total Liab + Total Equity)</t>
        </is>
      </c>
      <c r="C21" s="18">
        <f>C9-(C14+C19)</f>
        <v/>
      </c>
      <c r="D21" s="18">
        <f>D9-(D14+D19)</f>
        <v/>
      </c>
      <c r="E21" s="18">
        <f>E9-(E14+E19)</f>
        <v/>
      </c>
      <c r="F21" s="18">
        <f>F9-(F14+F19)</f>
        <v/>
      </c>
      <c r="G21" s="18">
        <f>G9-(G14+G19)</f>
        <v/>
      </c>
    </row>
  </sheetData>
  <conditionalFormatting sqref="C21:G21">
    <cfRule type="expression" priority="1" dxfId="0">
      <formula>ABS(C21)&gt;1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Cash Flow Statement (PKR)</t>
        </is>
      </c>
    </row>
    <row r="4">
      <c r="B4" s="5" t="inlineStr">
        <is>
          <t>Line Item</t>
        </is>
      </c>
      <c r="C4" s="5" t="inlineStr">
        <is>
          <t>Year 1</t>
        </is>
      </c>
      <c r="D4" s="5" t="inlineStr">
        <is>
          <t>Year 2</t>
        </is>
      </c>
      <c r="E4" s="5" t="inlineStr">
        <is>
          <t>Year 3</t>
        </is>
      </c>
      <c r="F4" s="5" t="inlineStr">
        <is>
          <t>Year 4</t>
        </is>
      </c>
      <c r="G4" s="5" t="inlineStr">
        <is>
          <t>Year 5</t>
        </is>
      </c>
    </row>
    <row r="5">
      <c r="B5" s="3" t="inlineStr">
        <is>
          <t>OPERATING ACTIVITIES</t>
        </is>
      </c>
    </row>
    <row r="6">
      <c r="B6" s="14" t="inlineStr">
        <is>
          <t>Net Income</t>
        </is>
      </c>
      <c r="C6" s="15">
        <f>'Income Statement'!C21</f>
        <v/>
      </c>
      <c r="D6" s="15">
        <f>'Income Statement'!D21</f>
        <v/>
      </c>
      <c r="E6" s="15">
        <f>'Income Statement'!E21</f>
        <v/>
      </c>
      <c r="F6" s="15">
        <f>'Income Statement'!F21</f>
        <v/>
      </c>
      <c r="G6" s="15">
        <f>'Income Statement'!G21</f>
        <v/>
      </c>
    </row>
    <row r="7">
      <c r="B7" s="14" t="inlineStr">
        <is>
          <t>Add: Depreciation &amp; Amortisation</t>
        </is>
      </c>
      <c r="C7" s="15">
        <f>'Income Statement'!C14</f>
        <v/>
      </c>
      <c r="D7" s="15">
        <f>'Income Statement'!D14</f>
        <v/>
      </c>
      <c r="E7" s="15">
        <f>'Income Statement'!E14</f>
        <v/>
      </c>
      <c r="F7" s="15">
        <f>'Income Statement'!F14</f>
        <v/>
      </c>
      <c r="G7" s="15">
        <f>'Income Statement'!G14</f>
        <v/>
      </c>
    </row>
    <row r="8">
      <c r="B8" s="14" t="inlineStr">
        <is>
          <t>Less: Increase in Receivables</t>
        </is>
      </c>
      <c r="C8" s="15">
        <f>-('Balance Sheet'!C7-0)</f>
        <v/>
      </c>
      <c r="D8" s="15">
        <f>-('Balance Sheet'!D7-'Balance Sheet'!C7)</f>
        <v/>
      </c>
      <c r="E8" s="15">
        <f>-('Balance Sheet'!E7-'Balance Sheet'!D7)</f>
        <v/>
      </c>
      <c r="F8" s="15">
        <f>-('Balance Sheet'!F7-'Balance Sheet'!E7)</f>
        <v/>
      </c>
      <c r="G8" s="15">
        <f>-('Balance Sheet'!G7-'Balance Sheet'!F7)</f>
        <v/>
      </c>
    </row>
    <row r="9">
      <c r="B9" s="14" t="inlineStr">
        <is>
          <t>Add: Increase in Payables</t>
        </is>
      </c>
      <c r="C9" s="15">
        <f>'Balance Sheet'!C12-0</f>
        <v/>
      </c>
      <c r="D9" s="15">
        <f>'Balance Sheet'!D12-'Balance Sheet'!C12</f>
        <v/>
      </c>
      <c r="E9" s="15">
        <f>'Balance Sheet'!E12-'Balance Sheet'!D12</f>
        <v/>
      </c>
      <c r="F9" s="15">
        <f>'Balance Sheet'!F12-'Balance Sheet'!E12</f>
        <v/>
      </c>
      <c r="G9" s="15">
        <f>'Balance Sheet'!G12-'Balance Sheet'!F12</f>
        <v/>
      </c>
    </row>
    <row r="10">
      <c r="B10" s="16" t="inlineStr">
        <is>
          <t>CASH FLOW FROM OPERATIONS (CFO)</t>
        </is>
      </c>
      <c r="C10" s="17">
        <f>C6+C7+C8+C9</f>
        <v/>
      </c>
      <c r="D10" s="17">
        <f>D6+D7+D8+D9</f>
        <v/>
      </c>
      <c r="E10" s="17">
        <f>E6+E7+E8+E9</f>
        <v/>
      </c>
      <c r="F10" s="17">
        <f>F6+F7+F8+F9</f>
        <v/>
      </c>
      <c r="G10" s="17">
        <f>G6+G7+G8+G9</f>
        <v/>
      </c>
    </row>
    <row r="12">
      <c r="B12" s="3" t="inlineStr">
        <is>
          <t>INVESTING ACTIVITIES</t>
        </is>
      </c>
    </row>
    <row r="13">
      <c r="B13" s="14" t="inlineStr">
        <is>
          <t>Capex</t>
        </is>
      </c>
      <c r="C13" s="15">
        <f>-Assumptions!C14</f>
        <v/>
      </c>
      <c r="D13" s="15">
        <f>-Assumptions!D14</f>
        <v/>
      </c>
      <c r="E13" s="15">
        <f>-Assumptions!E14</f>
        <v/>
      </c>
      <c r="F13" s="15">
        <f>-Assumptions!F14</f>
        <v/>
      </c>
      <c r="G13" s="15">
        <f>-Assumptions!G14</f>
        <v/>
      </c>
    </row>
    <row r="15">
      <c r="B15" s="3" t="inlineStr">
        <is>
          <t>FINANCING ACTIVITIES</t>
        </is>
      </c>
    </row>
    <row r="16">
      <c r="B16" s="14" t="inlineStr">
        <is>
          <t>Net Debt Drawn (Warehouse Facility)</t>
        </is>
      </c>
      <c r="C16" s="15">
        <f>'Balance Sheet'!C13-0</f>
        <v/>
      </c>
      <c r="D16" s="15">
        <f>'Balance Sheet'!D13-'Balance Sheet'!C13</f>
        <v/>
      </c>
      <c r="E16" s="15">
        <f>'Balance Sheet'!E13-'Balance Sheet'!D13</f>
        <v/>
      </c>
      <c r="F16" s="15">
        <f>'Balance Sheet'!F13-'Balance Sheet'!E13</f>
        <v/>
      </c>
      <c r="G16" s="15">
        <f>'Balance Sheet'!G13-'Balance Sheet'!F13</f>
        <v/>
      </c>
    </row>
    <row r="17">
      <c r="B17" s="14" t="inlineStr">
        <is>
          <t>New Equity Raised</t>
        </is>
      </c>
      <c r="C17" s="15">
        <f>Assumptions!C16</f>
        <v/>
      </c>
      <c r="D17" s="15">
        <f>Assumptions!D16</f>
        <v/>
      </c>
      <c r="E17" s="15">
        <f>Assumptions!E16</f>
        <v/>
      </c>
      <c r="F17" s="15">
        <f>Assumptions!F16</f>
        <v/>
      </c>
      <c r="G17" s="15">
        <f>Assumptions!G16</f>
        <v/>
      </c>
    </row>
    <row r="18">
      <c r="B18" s="16" t="inlineStr">
        <is>
          <t>CASH FLOW FROM FINANCING (CFF)</t>
        </is>
      </c>
      <c r="C18" s="17">
        <f>C16+C17</f>
        <v/>
      </c>
      <c r="D18" s="17">
        <f>D16+D17</f>
        <v/>
      </c>
      <c r="E18" s="17">
        <f>E16+E17</f>
        <v/>
      </c>
      <c r="F18" s="17">
        <f>F16+F17</f>
        <v/>
      </c>
      <c r="G18" s="17">
        <f>G16+G17</f>
        <v/>
      </c>
    </row>
    <row r="20">
      <c r="B20" s="16" t="inlineStr">
        <is>
          <t>NET CHANGE IN CASH</t>
        </is>
      </c>
      <c r="C20" s="17">
        <f>C10+C13+C18</f>
        <v/>
      </c>
      <c r="D20" s="17">
        <f>D10+D13+D18</f>
        <v/>
      </c>
      <c r="E20" s="17">
        <f>E10+E13+E18</f>
        <v/>
      </c>
      <c r="F20" s="17">
        <f>F10+F13+F18</f>
        <v/>
      </c>
      <c r="G20" s="17">
        <f>G10+G13+G18</f>
        <v/>
      </c>
    </row>
    <row r="21">
      <c r="B21" s="14" t="inlineStr">
        <is>
          <t>Beginning Cash</t>
        </is>
      </c>
      <c r="C21" s="15">
        <f>0</f>
        <v/>
      </c>
      <c r="D21" s="15">
        <f>C22</f>
        <v/>
      </c>
      <c r="E21" s="15">
        <f>D22</f>
        <v/>
      </c>
      <c r="F21" s="15">
        <f>E22</f>
        <v/>
      </c>
      <c r="G21" s="15">
        <f>F22</f>
        <v/>
      </c>
    </row>
    <row r="22">
      <c r="B22" s="16" t="inlineStr">
        <is>
          <t>ENDING CASH</t>
        </is>
      </c>
      <c r="C22" s="17">
        <f>C21+C20</f>
        <v/>
      </c>
      <c r="D22" s="17">
        <f>D21+D20</f>
        <v/>
      </c>
      <c r="E22" s="17">
        <f>E21+E20</f>
        <v/>
      </c>
      <c r="F22" s="17">
        <f>F21+F20</f>
        <v/>
      </c>
      <c r="G22" s="17">
        <f>G21+G20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DCF Valuation - Free Cash Flow to Equity (FCFE) Approach</t>
        </is>
      </c>
    </row>
    <row r="3">
      <c r="B3" s="2" t="inlineStr">
        <is>
          <t>See 'Read Me' for why FCFE (discounted at Cost of Equity) is used instead of a standard unlevered FCF/WACC DCF for this lending business.</t>
        </is>
      </c>
    </row>
    <row r="5">
      <c r="B5" s="5" t="inlineStr">
        <is>
          <t>Line Item</t>
        </is>
      </c>
      <c r="C5" s="5" t="inlineStr">
        <is>
          <t>Year 1</t>
        </is>
      </c>
      <c r="D5" s="5" t="inlineStr">
        <is>
          <t>Year 2</t>
        </is>
      </c>
      <c r="E5" s="5" t="inlineStr">
        <is>
          <t>Year 3</t>
        </is>
      </c>
      <c r="F5" s="5" t="inlineStr">
        <is>
          <t>Year 4</t>
        </is>
      </c>
      <c r="G5" s="5" t="inlineStr">
        <is>
          <t>Year 5</t>
        </is>
      </c>
    </row>
    <row r="6">
      <c r="B6" s="14" t="inlineStr">
        <is>
          <t>Net Income</t>
        </is>
      </c>
      <c r="C6" s="15">
        <f>'Income Statement'!C21</f>
        <v/>
      </c>
      <c r="D6" s="15">
        <f>'Income Statement'!D21</f>
        <v/>
      </c>
      <c r="E6" s="15">
        <f>'Income Statement'!E21</f>
        <v/>
      </c>
      <c r="F6" s="15">
        <f>'Income Statement'!F21</f>
        <v/>
      </c>
      <c r="G6" s="15">
        <f>'Income Statement'!G21</f>
        <v/>
      </c>
    </row>
    <row r="7">
      <c r="B7" s="14" t="inlineStr">
        <is>
          <t>Add: D&amp;A</t>
        </is>
      </c>
      <c r="C7" s="15">
        <f>'Income Statement'!C14</f>
        <v/>
      </c>
      <c r="D7" s="15">
        <f>'Income Statement'!D14</f>
        <v/>
      </c>
      <c r="E7" s="15">
        <f>'Income Statement'!E14</f>
        <v/>
      </c>
      <c r="F7" s="15">
        <f>'Income Statement'!F14</f>
        <v/>
      </c>
      <c r="G7" s="15">
        <f>'Income Statement'!G14</f>
        <v/>
      </c>
    </row>
    <row r="8">
      <c r="B8" s="14" t="inlineStr">
        <is>
          <t>Less: Capex</t>
        </is>
      </c>
      <c r="C8" s="15">
        <f>-Assumptions!C14</f>
        <v/>
      </c>
      <c r="D8" s="15">
        <f>-Assumptions!D14</f>
        <v/>
      </c>
      <c r="E8" s="15">
        <f>-Assumptions!E14</f>
        <v/>
      </c>
      <c r="F8" s="15">
        <f>-Assumptions!F14</f>
        <v/>
      </c>
      <c r="G8" s="15">
        <f>-Assumptions!G14</f>
        <v/>
      </c>
    </row>
    <row r="9">
      <c r="B9" s="14" t="inlineStr">
        <is>
          <t>Less: Increase in Net Working Capital (Receivables - Payables)</t>
        </is>
      </c>
      <c r="C9" s="15">
        <f>'Cash Flow Statement'!C8+'Cash Flow Statement'!C9</f>
        <v/>
      </c>
      <c r="D9" s="15">
        <f>'Cash Flow Statement'!D8+'Cash Flow Statement'!D9</f>
        <v/>
      </c>
      <c r="E9" s="15">
        <f>'Cash Flow Statement'!E8+'Cash Flow Statement'!E9</f>
        <v/>
      </c>
      <c r="F9" s="15">
        <f>'Cash Flow Statement'!F8+'Cash Flow Statement'!F9</f>
        <v/>
      </c>
      <c r="G9" s="15">
        <f>'Cash Flow Statement'!G8+'Cash Flow Statement'!G9</f>
        <v/>
      </c>
    </row>
    <row r="10">
      <c r="B10" s="14" t="inlineStr">
        <is>
          <t>Add: Net Debt Drawn (Warehouse Facility)</t>
        </is>
      </c>
      <c r="C10" s="15">
        <f>'Cash Flow Statement'!C16</f>
        <v/>
      </c>
      <c r="D10" s="15">
        <f>'Cash Flow Statement'!D16</f>
        <v/>
      </c>
      <c r="E10" s="15">
        <f>'Cash Flow Statement'!E16</f>
        <v/>
      </c>
      <c r="F10" s="15">
        <f>'Cash Flow Statement'!F16</f>
        <v/>
      </c>
      <c r="G10" s="15">
        <f>'Cash Flow Statement'!G16</f>
        <v/>
      </c>
    </row>
    <row r="11">
      <c r="B11" s="16" t="inlineStr">
        <is>
          <t>FREE CASH FLOW TO EQUITY (FCFE)</t>
        </is>
      </c>
      <c r="C11" s="17">
        <f>C6+C7+C8+C9+C10</f>
        <v/>
      </c>
      <c r="D11" s="17">
        <f>D6+D7+D8+D9+D10</f>
        <v/>
      </c>
      <c r="E11" s="17">
        <f>E6+E7+E8+E9+E10</f>
        <v/>
      </c>
      <c r="F11" s="17">
        <f>F6+F7+F8+F9+F10</f>
        <v/>
      </c>
      <c r="G11" s="17">
        <f>G6+G7+G8+G9+G10</f>
        <v/>
      </c>
    </row>
    <row r="13">
      <c r="B13" s="14" t="inlineStr">
        <is>
          <t>Discount Factor (at Cost of Equity)</t>
        </is>
      </c>
      <c r="C13" s="19">
        <f>1/(1+Assumptions!$C$27)^1</f>
        <v/>
      </c>
      <c r="D13" s="19">
        <f>1/(1+Assumptions!$C$27)^2</f>
        <v/>
      </c>
      <c r="E13" s="19">
        <f>1/(1+Assumptions!$C$27)^3</f>
        <v/>
      </c>
      <c r="F13" s="19">
        <f>1/(1+Assumptions!$C$27)^4</f>
        <v/>
      </c>
      <c r="G13" s="19">
        <f>1/(1+Assumptions!$C$27)^5</f>
        <v/>
      </c>
    </row>
    <row r="14">
      <c r="B14" s="14" t="inlineStr">
        <is>
          <t>PV of FCFE</t>
        </is>
      </c>
      <c r="C14" s="15">
        <f>C11*C13</f>
        <v/>
      </c>
      <c r="D14" s="15">
        <f>D11*D13</f>
        <v/>
      </c>
      <c r="E14" s="15">
        <f>E11*E13</f>
        <v/>
      </c>
      <c r="F14" s="15">
        <f>F11*F13</f>
        <v/>
      </c>
      <c r="G14" s="15">
        <f>G11*G13</f>
        <v/>
      </c>
    </row>
    <row r="16">
      <c r="B16" s="16" t="inlineStr">
        <is>
          <t>Sum of PV of FCFE (Years 1-5)</t>
        </is>
      </c>
      <c r="D16" s="20">
        <f>SUM(C14:G14)</f>
        <v/>
      </c>
    </row>
    <row r="17">
      <c r="B17" s="16" t="inlineStr">
        <is>
          <t>Terminal Value (Gordon Growth, at end of Year 5)</t>
        </is>
      </c>
      <c r="D17" s="21">
        <f>G11*(1+Assumptions!$C$25)/(Assumptions!$C$27-Assumptions!$C$25)</f>
        <v/>
      </c>
    </row>
    <row r="18">
      <c r="B18" s="16" t="inlineStr">
        <is>
          <t>PV of Terminal Value</t>
        </is>
      </c>
      <c r="D18" s="21">
        <f>D17*G13</f>
        <v/>
      </c>
    </row>
    <row r="19">
      <c r="B19" s="3" t="inlineStr">
        <is>
          <t>EQUITY VALUE (PV of FCFE + PV of Terminal Value)</t>
        </is>
      </c>
      <c r="D19" s="22">
        <f>D16+D18</f>
        <v/>
      </c>
    </row>
    <row r="20">
      <c r="B20" s="3" t="inlineStr">
        <is>
          <t>Implied Value per Share (PKR)</t>
        </is>
      </c>
      <c r="D20" s="23">
        <f>D19/(Assumptions!$C$26*1000000)</f>
        <v/>
      </c>
    </row>
    <row r="22">
      <c r="B22" s="24" t="inlineStr">
        <is>
          <t>Cost of Equity Used (from Assumptions)</t>
        </is>
      </c>
      <c r="D22" s="25">
        <f>Assumptions!$C$27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Sensitivity: Equity Value (PKR) - Cost of Equity vs. Terminal Growth</t>
        </is>
      </c>
    </row>
    <row r="3">
      <c r="B3" s="2" t="inlineStr">
        <is>
          <t>Each cell independently recomputes Sum of PV(FCFE) + PV(Terminal Value) for that Cost of Equity / growth pair.</t>
        </is>
      </c>
    </row>
    <row r="5">
      <c r="B5" s="5" t="inlineStr">
        <is>
          <t>Cost of Equity ↓ / Terminal Growth →</t>
        </is>
      </c>
      <c r="C5" s="26" t="n">
        <v>0.04</v>
      </c>
      <c r="D5" s="26" t="n">
        <v>0.06</v>
      </c>
      <c r="E5" s="26" t="n">
        <v>0.08</v>
      </c>
      <c r="F5" s="26" t="n">
        <v>0.1</v>
      </c>
      <c r="G5" s="26" t="n">
        <v>0.12</v>
      </c>
    </row>
    <row r="6">
      <c r="B6" s="27" t="n">
        <v>0.184</v>
      </c>
      <c r="C6" s="15">
        <f>'DCF Valuation'!C$11/(1+$B6)^1+'DCF Valuation'!D$11/(1+$B6)^2+'DCF Valuation'!E$11/(1+$B6)^3+'DCF Valuation'!F$11/(1+$B6)^4+'DCF Valuation'!G$11/(1+$B6)^5+('DCF Valuation'!$G$11*(1+C$5)/($B6-C$5))/(1+$B6)^5</f>
        <v/>
      </c>
      <c r="D6" s="15">
        <f>'DCF Valuation'!C$11/(1+$B6)^1+'DCF Valuation'!D$11/(1+$B6)^2+'DCF Valuation'!E$11/(1+$B6)^3+'DCF Valuation'!F$11/(1+$B6)^4+'DCF Valuation'!G$11/(1+$B6)^5+('DCF Valuation'!$G$11*(1+D$5)/($B6-D$5))/(1+$B6)^5</f>
        <v/>
      </c>
      <c r="E6" s="15">
        <f>'DCF Valuation'!C$11/(1+$B6)^1+'DCF Valuation'!D$11/(1+$B6)^2+'DCF Valuation'!E$11/(1+$B6)^3+'DCF Valuation'!F$11/(1+$B6)^4+'DCF Valuation'!G$11/(1+$B6)^5+('DCF Valuation'!$G$11*(1+E$5)/($B6-E$5))/(1+$B6)^5</f>
        <v/>
      </c>
      <c r="F6" s="15">
        <f>'DCF Valuation'!C$11/(1+$B6)^1+'DCF Valuation'!D$11/(1+$B6)^2+'DCF Valuation'!E$11/(1+$B6)^3+'DCF Valuation'!F$11/(1+$B6)^4+'DCF Valuation'!G$11/(1+$B6)^5+('DCF Valuation'!$G$11*(1+F$5)/($B6-F$5))/(1+$B6)^5</f>
        <v/>
      </c>
      <c r="G6" s="15">
        <f>'DCF Valuation'!C$11/(1+$B6)^1+'DCF Valuation'!D$11/(1+$B6)^2+'DCF Valuation'!E$11/(1+$B6)^3+'DCF Valuation'!F$11/(1+$B6)^4+'DCF Valuation'!G$11/(1+$B6)^5+('DCF Valuation'!$G$11*(1+G$5)/($B6-G$5))/(1+$B6)^5</f>
        <v/>
      </c>
    </row>
    <row r="7">
      <c r="B7" s="27" t="n">
        <v>0.204</v>
      </c>
      <c r="C7" s="15">
        <f>'DCF Valuation'!C$11/(1+$B7)^1+'DCF Valuation'!D$11/(1+$B7)^2+'DCF Valuation'!E$11/(1+$B7)^3+'DCF Valuation'!F$11/(1+$B7)^4+'DCF Valuation'!G$11/(1+$B7)^5+('DCF Valuation'!$G$11*(1+C$5)/($B7-C$5))/(1+$B7)^5</f>
        <v/>
      </c>
      <c r="D7" s="15">
        <f>'DCF Valuation'!C$11/(1+$B7)^1+'DCF Valuation'!D$11/(1+$B7)^2+'DCF Valuation'!E$11/(1+$B7)^3+'DCF Valuation'!F$11/(1+$B7)^4+'DCF Valuation'!G$11/(1+$B7)^5+('DCF Valuation'!$G$11*(1+D$5)/($B7-D$5))/(1+$B7)^5</f>
        <v/>
      </c>
      <c r="E7" s="15">
        <f>'DCF Valuation'!C$11/(1+$B7)^1+'DCF Valuation'!D$11/(1+$B7)^2+'DCF Valuation'!E$11/(1+$B7)^3+'DCF Valuation'!F$11/(1+$B7)^4+'DCF Valuation'!G$11/(1+$B7)^5+('DCF Valuation'!$G$11*(1+E$5)/($B7-E$5))/(1+$B7)^5</f>
        <v/>
      </c>
      <c r="F7" s="15">
        <f>'DCF Valuation'!C$11/(1+$B7)^1+'DCF Valuation'!D$11/(1+$B7)^2+'DCF Valuation'!E$11/(1+$B7)^3+'DCF Valuation'!F$11/(1+$B7)^4+'DCF Valuation'!G$11/(1+$B7)^5+('DCF Valuation'!$G$11*(1+F$5)/($B7-F$5))/(1+$B7)^5</f>
        <v/>
      </c>
      <c r="G7" s="15">
        <f>'DCF Valuation'!C$11/(1+$B7)^1+'DCF Valuation'!D$11/(1+$B7)^2+'DCF Valuation'!E$11/(1+$B7)^3+'DCF Valuation'!F$11/(1+$B7)^4+'DCF Valuation'!G$11/(1+$B7)^5+('DCF Valuation'!$G$11*(1+G$5)/($B7-G$5))/(1+$B7)^5</f>
        <v/>
      </c>
    </row>
    <row r="8">
      <c r="B8" s="27" t="n">
        <v>0.224</v>
      </c>
      <c r="C8" s="15">
        <f>'DCF Valuation'!C$11/(1+$B8)^1+'DCF Valuation'!D$11/(1+$B8)^2+'DCF Valuation'!E$11/(1+$B8)^3+'DCF Valuation'!F$11/(1+$B8)^4+'DCF Valuation'!G$11/(1+$B8)^5+('DCF Valuation'!$G$11*(1+C$5)/($B8-C$5))/(1+$B8)^5</f>
        <v/>
      </c>
      <c r="D8" s="15">
        <f>'DCF Valuation'!C$11/(1+$B8)^1+'DCF Valuation'!D$11/(1+$B8)^2+'DCF Valuation'!E$11/(1+$B8)^3+'DCF Valuation'!F$11/(1+$B8)^4+'DCF Valuation'!G$11/(1+$B8)^5+('DCF Valuation'!$G$11*(1+D$5)/($B8-D$5))/(1+$B8)^5</f>
        <v/>
      </c>
      <c r="E8" s="15">
        <f>'DCF Valuation'!C$11/(1+$B8)^1+'DCF Valuation'!D$11/(1+$B8)^2+'DCF Valuation'!E$11/(1+$B8)^3+'DCF Valuation'!F$11/(1+$B8)^4+'DCF Valuation'!G$11/(1+$B8)^5+('DCF Valuation'!$G$11*(1+E$5)/($B8-E$5))/(1+$B8)^5</f>
        <v/>
      </c>
      <c r="F8" s="15">
        <f>'DCF Valuation'!C$11/(1+$B8)^1+'DCF Valuation'!D$11/(1+$B8)^2+'DCF Valuation'!E$11/(1+$B8)^3+'DCF Valuation'!F$11/(1+$B8)^4+'DCF Valuation'!G$11/(1+$B8)^5+('DCF Valuation'!$G$11*(1+F$5)/($B8-F$5))/(1+$B8)^5</f>
        <v/>
      </c>
      <c r="G8" s="15">
        <f>'DCF Valuation'!C$11/(1+$B8)^1+'DCF Valuation'!D$11/(1+$B8)^2+'DCF Valuation'!E$11/(1+$B8)^3+'DCF Valuation'!F$11/(1+$B8)^4+'DCF Valuation'!G$11/(1+$B8)^5+('DCF Valuation'!$G$11*(1+G$5)/($B8-G$5))/(1+$B8)^5</f>
        <v/>
      </c>
    </row>
    <row r="9">
      <c r="B9" s="27" t="n">
        <v>0.244</v>
      </c>
      <c r="C9" s="15">
        <f>'DCF Valuation'!C$11/(1+$B9)^1+'DCF Valuation'!D$11/(1+$B9)^2+'DCF Valuation'!E$11/(1+$B9)^3+'DCF Valuation'!F$11/(1+$B9)^4+'DCF Valuation'!G$11/(1+$B9)^5+('DCF Valuation'!$G$11*(1+C$5)/($B9-C$5))/(1+$B9)^5</f>
        <v/>
      </c>
      <c r="D9" s="15">
        <f>'DCF Valuation'!C$11/(1+$B9)^1+'DCF Valuation'!D$11/(1+$B9)^2+'DCF Valuation'!E$11/(1+$B9)^3+'DCF Valuation'!F$11/(1+$B9)^4+'DCF Valuation'!G$11/(1+$B9)^5+('DCF Valuation'!$G$11*(1+D$5)/($B9-D$5))/(1+$B9)^5</f>
        <v/>
      </c>
      <c r="E9" s="15">
        <f>'DCF Valuation'!C$11/(1+$B9)^1+'DCF Valuation'!D$11/(1+$B9)^2+'DCF Valuation'!E$11/(1+$B9)^3+'DCF Valuation'!F$11/(1+$B9)^4+'DCF Valuation'!G$11/(1+$B9)^5+('DCF Valuation'!$G$11*(1+E$5)/($B9-E$5))/(1+$B9)^5</f>
        <v/>
      </c>
      <c r="F9" s="15">
        <f>'DCF Valuation'!C$11/(1+$B9)^1+'DCF Valuation'!D$11/(1+$B9)^2+'DCF Valuation'!E$11/(1+$B9)^3+'DCF Valuation'!F$11/(1+$B9)^4+'DCF Valuation'!G$11/(1+$B9)^5+('DCF Valuation'!$G$11*(1+F$5)/($B9-F$5))/(1+$B9)^5</f>
        <v/>
      </c>
      <c r="G9" s="15">
        <f>'DCF Valuation'!C$11/(1+$B9)^1+'DCF Valuation'!D$11/(1+$B9)^2+'DCF Valuation'!E$11/(1+$B9)^3+'DCF Valuation'!F$11/(1+$B9)^4+'DCF Valuation'!G$11/(1+$B9)^5+('DCF Valuation'!$G$11*(1+G$5)/($B9-G$5))/(1+$B9)^5</f>
        <v/>
      </c>
    </row>
    <row r="10">
      <c r="B10" s="27" t="n">
        <v>0.264</v>
      </c>
      <c r="C10" s="15">
        <f>'DCF Valuation'!C$11/(1+$B10)^1+'DCF Valuation'!D$11/(1+$B10)^2+'DCF Valuation'!E$11/(1+$B10)^3+'DCF Valuation'!F$11/(1+$B10)^4+'DCF Valuation'!G$11/(1+$B10)^5+('DCF Valuation'!$G$11*(1+C$5)/($B10-C$5))/(1+$B10)^5</f>
        <v/>
      </c>
      <c r="D10" s="15">
        <f>'DCF Valuation'!C$11/(1+$B10)^1+'DCF Valuation'!D$11/(1+$B10)^2+'DCF Valuation'!E$11/(1+$B10)^3+'DCF Valuation'!F$11/(1+$B10)^4+'DCF Valuation'!G$11/(1+$B10)^5+('DCF Valuation'!$G$11*(1+D$5)/($B10-D$5))/(1+$B10)^5</f>
        <v/>
      </c>
      <c r="E10" s="15">
        <f>'DCF Valuation'!C$11/(1+$B10)^1+'DCF Valuation'!D$11/(1+$B10)^2+'DCF Valuation'!E$11/(1+$B10)^3+'DCF Valuation'!F$11/(1+$B10)^4+'DCF Valuation'!G$11/(1+$B10)^5+('DCF Valuation'!$G$11*(1+E$5)/($B10-E$5))/(1+$B10)^5</f>
        <v/>
      </c>
      <c r="F10" s="15">
        <f>'DCF Valuation'!C$11/(1+$B10)^1+'DCF Valuation'!D$11/(1+$B10)^2+'DCF Valuation'!E$11/(1+$B10)^3+'DCF Valuation'!F$11/(1+$B10)^4+'DCF Valuation'!G$11/(1+$B10)^5+('DCF Valuation'!$G$11*(1+F$5)/($B10-F$5))/(1+$B10)^5</f>
        <v/>
      </c>
      <c r="G10" s="15">
        <f>'DCF Valuation'!C$11/(1+$B10)^1+'DCF Valuation'!D$11/(1+$B10)^2+'DCF Valuation'!E$11/(1+$B10)^3+'DCF Valuation'!F$11/(1+$B10)^4+'DCF Valuation'!G$11/(1+$B10)^5+('DCF Valuation'!$G$11*(1+G$5)/($B10-G$5))/(1+$B10)^5</f>
        <v/>
      </c>
    </row>
  </sheetData>
  <conditionalFormatting sqref="C6:G10">
    <cfRule type="colorScale" priority="1">
      <colorScale>
        <cfvo type="min"/>
        <cfvo type="max"/>
        <color rgb="00F8696B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Financial Summary Dashboard</t>
        </is>
      </c>
    </row>
    <row r="4">
      <c r="B4" s="5" t="inlineStr">
        <is>
          <t>Year</t>
        </is>
      </c>
      <c r="C4" s="5" t="inlineStr">
        <is>
          <t>Year 1</t>
        </is>
      </c>
      <c r="D4" s="5" t="inlineStr">
        <is>
          <t>Year 2</t>
        </is>
      </c>
      <c r="E4" s="5" t="inlineStr">
        <is>
          <t>Year 3</t>
        </is>
      </c>
      <c r="F4" s="5" t="inlineStr">
        <is>
          <t>Year 4</t>
        </is>
      </c>
      <c r="G4" s="5" t="inlineStr">
        <is>
          <t>Year 5</t>
        </is>
      </c>
    </row>
    <row r="5">
      <c r="B5" t="inlineStr">
        <is>
          <t>Revenue</t>
        </is>
      </c>
      <c r="C5" s="21">
        <f>'Income Statement'!C6</f>
        <v/>
      </c>
      <c r="D5" s="21">
        <f>'Income Statement'!D6</f>
        <v/>
      </c>
      <c r="E5" s="21">
        <f>'Income Statement'!E6</f>
        <v/>
      </c>
      <c r="F5" s="21">
        <f>'Income Statement'!F6</f>
        <v/>
      </c>
      <c r="G5" s="21">
        <f>'Income Statement'!G6</f>
        <v/>
      </c>
    </row>
    <row r="6">
      <c r="B6" t="inlineStr">
        <is>
          <t>EBITDA</t>
        </is>
      </c>
      <c r="C6" s="21">
        <f>'Income Statement'!C13</f>
        <v/>
      </c>
      <c r="D6" s="21">
        <f>'Income Statement'!D13</f>
        <v/>
      </c>
      <c r="E6" s="21">
        <f>'Income Statement'!E13</f>
        <v/>
      </c>
      <c r="F6" s="21">
        <f>'Income Statement'!F13</f>
        <v/>
      </c>
      <c r="G6" s="21">
        <f>'Income Statement'!G13</f>
        <v/>
      </c>
    </row>
    <row r="7">
      <c r="B7" t="inlineStr">
        <is>
          <t>Net Income</t>
        </is>
      </c>
      <c r="C7" s="21">
        <f>'Income Statement'!C21</f>
        <v/>
      </c>
      <c r="D7" s="21">
        <f>'Income Statement'!D21</f>
        <v/>
      </c>
      <c r="E7" s="21">
        <f>'Income Statement'!E21</f>
        <v/>
      </c>
      <c r="F7" s="21">
        <f>'Income Statement'!F21</f>
        <v/>
      </c>
      <c r="G7" s="21">
        <f>'Income Statement'!G21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Key Findings &amp; Recommendations</t>
        </is>
      </c>
    </row>
    <row r="4">
      <c r="B4" s="28" t="inlineStr">
        <is>
          <t>1. THE MODEL SHOWS A CLASSIC FINTECH J-CURVE: EBITDA is negative in Years 1-2 (customer acquisition and cost-of-</t>
        </is>
      </c>
    </row>
    <row r="5">
      <c r="B5" s="28" t="inlineStr">
        <is>
          <t xml:space="preserve">   funds outweigh a still-small revenue base), turns positive in Year 3, and scales to a healthy margin by Year 5</t>
        </is>
      </c>
    </row>
    <row r="6">
      <c r="B6" s="28" t="inlineStr">
        <is>
          <t xml:space="preserve">   as fixed tech/G&amp;A costs are spread over a much larger revenue base (operating leverage).</t>
        </is>
      </c>
    </row>
    <row r="7">
      <c r="B7" s="28" t="inlineStr">
        <is>
          <t>2. THE BALANCE SHEET CHECK ROW HOLDS AT ZERO IN EVERY YEAR BY FORMULA - proof that all three statements are</t>
        </is>
      </c>
    </row>
    <row r="8">
      <c r="B8" s="28" t="inlineStr">
        <is>
          <t xml:space="preserve">   properly double-entry linked (Net Income flows to Retained Earnings, cash flow reconciles to the Balance</t>
        </is>
      </c>
    </row>
    <row r="9">
      <c r="B9" s="28" t="inlineStr">
        <is>
          <t xml:space="preserve">   Sheet's cash balance, and every asset is matched by a liability or equity claim) rather than hand-plugged.</t>
        </is>
      </c>
    </row>
    <row r="10">
      <c r="B10" s="28" t="inlineStr">
        <is>
          <t>3. A NAIVE UNLEVERED-FCF DCF WOULD MISVALUE THIS BUSINESS: because receivables scale directly with GMV growth,</t>
        </is>
      </c>
    </row>
    <row r="11">
      <c r="B11" s="28" t="inlineStr">
        <is>
          <t xml:space="preserve">   an unlevered FCF calculation (which assumes the receivables build is equity/blended-capital funded) produces a</t>
        </is>
      </c>
    </row>
    <row r="12">
      <c r="B12" s="28" t="inlineStr">
        <is>
          <t xml:space="preserve">   deeply negative, nonsensical enterprise value. Recognising that the receivables are matched-funded by the</t>
        </is>
      </c>
    </row>
    <row r="13">
      <c r="B13" s="28" t="inlineStr">
        <is>
          <t xml:space="preserve">   warehouse debt facility, and valuing on a FREE CASH FLOW TO EQUITY basis instead, resolves this and produces a</t>
        </is>
      </c>
    </row>
    <row r="14">
      <c r="B14" s="28" t="inlineStr">
        <is>
          <t xml:space="preserve">   sensible positive equity value - the single most important modelling judgment call in this project.</t>
        </is>
      </c>
    </row>
    <row r="15">
      <c r="B15" s="28" t="inlineStr">
        <is>
          <t>4. THE COMPANY NEEDS ITS SERIES A INJECTION EARLY (Year 1-2) TO SURVIVE THE J-CURVE, but does not need further</t>
        </is>
      </c>
    </row>
    <row r="16">
      <c r="B16" s="28" t="inlineStr">
        <is>
          <t xml:space="preserve">   equity beyond Year 3 once EBITDA turns positive and the warehouse facility can fund further receivables growth</t>
        </is>
      </c>
    </row>
    <row r="17">
      <c r="B17" s="28" t="inlineStr">
        <is>
          <t xml:space="preserve">   on its own - a genuinely useful output for a founder deciding how much to raise and when.</t>
        </is>
      </c>
    </row>
    <row r="18">
      <c r="B18" s="28" t="inlineStr">
        <is>
          <t>5. THE SENSITIVITY TABLE shows equity value is considerably more sensitive to the terminal growth assumption than</t>
        </is>
      </c>
    </row>
    <row r="19">
      <c r="B19" s="28" t="inlineStr">
        <is>
          <t xml:space="preserve">   to the cost of equity within a plausible range - typical for a long-duration growth asset, and a reminder that</t>
        </is>
      </c>
    </row>
    <row r="20">
      <c r="B20" s="28" t="inlineStr">
        <is>
          <t xml:space="preserve">   the terminal-value assumption deserves the most scrutiny in any DCF, not the discount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2026-09-13T12:24:29Z</dcterms:created>
  <dcterms:modified xsi:type="dcterms:W3CDTF">2026-09-13T12:24:29Z</dcterms:modified>
</cp:coreProperties>
</file>