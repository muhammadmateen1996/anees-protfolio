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nthly Budget" sheetId="2" state="visible" r:id="rId2"/>
    <sheet name="Inflation History (PBS)" sheetId="3" state="visible" r:id="rId3"/>
    <sheet name="Inflation Planner" sheetId="4" state="visible" r:id="rId4"/>
    <sheet name="Savings Goal Calculator" sheetId="5" state="visible" r:id="rId5"/>
    <sheet name="Dashboard" sheetId="6" state="visible" r:id="rId6"/>
    <sheet name="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  <sz val="10"/>
    </font>
    <font>
      <b val="1"/>
      <color rgb="001F3864"/>
      <sz val="12"/>
    </font>
    <font>
      <sz val="10"/>
    </font>
    <font>
      <b val="1"/>
      <color rgb="00FFFFFF"/>
      <sz val="11"/>
    </font>
    <font>
      <b val="1"/>
    </font>
    <font>
      <b val="1"/>
      <color rgb="001F3864"/>
    </font>
    <font>
      <i val="1"/>
      <color rgb="00888888"/>
      <sz val="9"/>
    </font>
    <font>
      <sz val="10.5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3" fontId="0" fillId="3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3" fontId="6" fillId="0" borderId="0" pivotButton="0" quotePrefix="0" xfId="0"/>
    <xf numFmtId="0" fontId="0" fillId="0" borderId="1" pivotButton="0" quotePrefix="0" xfId="0"/>
    <xf numFmtId="164" fontId="0" fillId="0" borderId="0" pivotButton="0" quotePrefix="0" xfId="0"/>
    <xf numFmtId="164" fontId="0" fillId="3" borderId="1" pivotButton="0" quotePrefix="0" xfId="0"/>
    <xf numFmtId="1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3" fontId="3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Actual Spending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'Monthly Budget'!H5</f>
            </strRef>
          </tx>
          <spPr>
            <a:ln>
              <a:prstDash val="solid"/>
            </a:ln>
          </spPr>
          <cat>
            <numRef>
              <f>'Monthly Budget'!$B$7:$B$14</f>
            </numRef>
          </cat>
          <val>
            <numRef>
              <f>'Monthly Budget'!$H$6:$H$14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Pakistan Annual CPI Inflation (representative)</a:t>
            </a:r>
          </a:p>
        </rich>
      </tx>
    </title>
    <plotArea>
      <lineChart>
        <grouping val="standard"/>
        <ser>
          <idx val="0"/>
          <order val="0"/>
          <tx>
            <strRef>
              <f>'Inflation History (PBS)'!C5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'Inflation History (PBS)'!$B$6:$B$16</f>
            </numRef>
          </cat>
          <val>
            <numRef>
              <f>'Inflation History (PBS)'!$C$6:$C$16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Inflation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Nominal vs Real Value of Savings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'Dashboard'!$B$8:$B$18</f>
            </numRef>
          </cat>
          <val>
            <numRef>
              <f>'Dashboard'!$C$8:$C$18</f>
            </numRef>
          </val>
        </ser>
        <ser>
          <idx val="1"/>
          <order val="1"/>
          <tx>
            <strRef>
              <f>'Dashboard'!D7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'Dashboard'!$B$8:$B$18</f>
            </numRef>
          </cat>
          <val>
            <numRef>
              <f>'Dashboard'!$D$8:$D$18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PKR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6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>
      <c r="B2" s="1" t="inlineStr">
        <is>
          <t>Household Budget &amp; Inflation-Adjusted Savings Planner</t>
        </is>
      </c>
    </row>
    <row r="3">
      <c r="B3" s="2" t="inlineStr">
        <is>
          <t>A budgeting and long-term savings tool built for Pakistan's high-inflation environment</t>
        </is>
      </c>
    </row>
    <row r="5">
      <c r="B5" s="3" t="inlineStr">
        <is>
          <t>PURPOSE</t>
        </is>
      </c>
    </row>
    <row r="6">
      <c r="B6" s="4" t="inlineStr">
        <is>
          <t>Pakistan has experienced some of the highest and most volatile inflation of any major economy in the last five</t>
        </is>
      </c>
    </row>
    <row r="7">
      <c r="B7" s="4" t="inlineStr">
        <is>
          <t>years: Pakistan Bureau of Statistics (PBS) CPI data shows average annual inflation rising from roughly 8-12%</t>
        </is>
      </c>
    </row>
    <row r="8">
      <c r="B8" s="4" t="inlineStr">
        <is>
          <t>(FY2019-FY2022) to a peak of around 29% in FY2023 (with individual months touching ~38% YoY) before cooling</t>
        </is>
      </c>
    </row>
    <row r="9">
      <c r="B9" s="4" t="inlineStr">
        <is>
          <t>sharply as State Bank of Pakistan (SBP) tightened policy. For an ordinary household, this means a budget that</t>
        </is>
      </c>
    </row>
    <row r="10">
      <c r="B10" s="4" t="inlineStr">
        <is>
          <t>worked last year can be badly wrong this year, and 'saving for retirement' or a child's education without</t>
        </is>
      </c>
    </row>
    <row r="11">
      <c r="B11" s="4" t="inlineStr">
        <is>
          <t>explicitly planning for inflation quietly erodes real purchasing power - a household saving in a low-interest</t>
        </is>
      </c>
    </row>
    <row r="12">
      <c r="B12" s="4" t="inlineStr">
        <is>
          <t>savings account can easily be losing money in real terms even while their account balance grows.</t>
        </is>
      </c>
    </row>
    <row r="14">
      <c r="B14" s="3" t="inlineStr">
        <is>
          <t>HOW IT WORKS</t>
        </is>
      </c>
    </row>
    <row r="15">
      <c r="B15" s="4" t="inlineStr">
        <is>
          <t>1. 'Monthly Budget' - a standard household budget (income vs. 9 expense categories, budgeted vs. actual), with</t>
        </is>
      </c>
    </row>
    <row r="16">
      <c r="B16" s="4" t="inlineStr">
        <is>
          <t xml:space="preserve">   automatic variance flags and a spending breakdown pie chart.</t>
        </is>
      </c>
    </row>
    <row r="17">
      <c r="B17" s="4" t="inlineStr">
        <is>
          <t>2. 'Inflation History (PBS)' - representative annual CPI inflation figures for Pakistan, FY2015-FY2025, charted,</t>
        </is>
      </c>
    </row>
    <row r="18">
      <c r="B18" s="4" t="inlineStr">
        <is>
          <t xml:space="preserve">   used as the reference/assumption feeding the planner.</t>
        </is>
      </c>
    </row>
    <row r="19">
      <c r="B19" s="4" t="inlineStr">
        <is>
          <t>3. 'Inflation Planner' - takes today's total annual expenses and projects them forward 1/3/5/10/20 years at an</t>
        </is>
      </c>
    </row>
    <row r="20">
      <c r="B20" s="4" t="inlineStr">
        <is>
          <t xml:space="preserve">   adjustable assumed inflation rate, and computes the REAL (inflation-adjusted) return needed on savings just</t>
        </is>
      </c>
    </row>
    <row r="21">
      <c r="B21" s="4" t="inlineStr">
        <is>
          <t xml:space="preserve">   to preserve purchasing power - not to grow wealth.</t>
        </is>
      </c>
    </row>
    <row r="22">
      <c r="B22" s="4" t="inlineStr">
        <is>
          <t>4. 'Savings Goal Calculator' - a retirement/education goal calculator using standard time-value-of-money</t>
        </is>
      </c>
    </row>
    <row r="23">
      <c r="B23" s="4" t="inlineStr">
        <is>
          <t xml:space="preserve">   formulas (FV, PMT) to work out the monthly saving required today, in inflation-adjusted terms, to reach a</t>
        </is>
      </c>
    </row>
    <row r="24">
      <c r="B24" s="4" t="inlineStr">
        <is>
          <t xml:space="preserve">   real target amount by a target year.</t>
        </is>
      </c>
    </row>
    <row r="25">
      <c r="B25" s="4" t="inlineStr">
        <is>
          <t>5. 'Dashboard' - expense breakdown, historical inflation chart, and nominal-vs-real value of a sample savings</t>
        </is>
      </c>
    </row>
    <row r="26">
      <c r="B26" s="4" t="inlineStr">
        <is>
          <t xml:space="preserve">   pot over 10 years to visualise inflation's silent erosion effect.</t>
        </is>
      </c>
    </row>
    <row r="28">
      <c r="B28" s="3" t="inlineStr">
        <is>
          <t>DATA NOTE</t>
        </is>
      </c>
    </row>
    <row r="29">
      <c r="B29" s="4" t="inlineStr">
        <is>
          <t>Inflation figures are representative approximations of publicly reported PBS/SBP annual CPI trends for</t>
        </is>
      </c>
    </row>
    <row r="30">
      <c r="B30" s="4" t="inlineStr">
        <is>
          <t>illustration; consult PBS (pbs.gov.pk) for exact official series. Budget figures are a realistic but</t>
        </is>
      </c>
    </row>
    <row r="31">
      <c r="B31" s="4" t="inlineStr">
        <is>
          <t>illustrative middle-income Pakistani household (PKR), not real financial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  <col width="14" customWidth="1" min="5" max="5"/>
    <col width="14" customWidth="1" min="6" max="6"/>
    <col hidden="1" width="13" customWidth="1" min="8" max="8"/>
  </cols>
  <sheetData>
    <row r="2">
      <c r="B2" s="1" t="inlineStr">
        <is>
          <t>Monthly Household Budget</t>
        </is>
      </c>
    </row>
    <row r="3">
      <c r="B3" s="2" t="inlineStr">
        <is>
          <t>PKR - edit 'Budgeted' and 'Actual' columns (yellow).</t>
        </is>
      </c>
    </row>
    <row r="5">
      <c r="B5" s="5" t="inlineStr">
        <is>
          <t>Category</t>
        </is>
      </c>
      <c r="C5" s="5" t="inlineStr">
        <is>
          <t>Budgeted (PKR)</t>
        </is>
      </c>
      <c r="D5" s="5" t="inlineStr">
        <is>
          <t>Actual (PKR)</t>
        </is>
      </c>
      <c r="E5" s="5" t="inlineStr">
        <is>
          <t>Variance</t>
        </is>
      </c>
      <c r="F5" s="5" t="inlineStr">
        <is>
          <t>Variance %</t>
        </is>
      </c>
      <c r="H5" t="inlineStr">
        <is>
          <t>Abs Actual</t>
        </is>
      </c>
    </row>
    <row r="6">
      <c r="B6" t="inlineStr">
        <is>
          <t>Income (net salary + other)</t>
        </is>
      </c>
      <c r="C6" s="6" t="n">
        <v>250000</v>
      </c>
      <c r="D6" s="6" t="n">
        <v>258000</v>
      </c>
      <c r="E6" s="7">
        <f>D6-C6</f>
        <v/>
      </c>
      <c r="F6" s="8">
        <f>IF(C6=0,0,(D6-C6)/ABS(C6))</f>
        <v/>
      </c>
    </row>
    <row r="7">
      <c r="B7" t="inlineStr">
        <is>
          <t>Rent / Housing</t>
        </is>
      </c>
      <c r="C7" s="6" t="n">
        <v>-60000</v>
      </c>
      <c r="D7" s="6" t="n">
        <v>-60000</v>
      </c>
      <c r="E7" s="7">
        <f>D7-C7</f>
        <v/>
      </c>
      <c r="F7" s="8">
        <f>IF(C7=0,0,(D7-C7)/ABS(C7))</f>
        <v/>
      </c>
      <c r="H7">
        <f>ABS(D7)</f>
        <v/>
      </c>
    </row>
    <row r="8">
      <c r="B8" t="inlineStr">
        <is>
          <t>Utilities (electricity, gas, water, internet)</t>
        </is>
      </c>
      <c r="C8" s="6" t="n">
        <v>-35000</v>
      </c>
      <c r="D8" s="6" t="n">
        <v>-42000</v>
      </c>
      <c r="E8" s="7">
        <f>D8-C8</f>
        <v/>
      </c>
      <c r="F8" s="8">
        <f>IF(C8=0,0,(D8-C8)/ABS(C8))</f>
        <v/>
      </c>
      <c r="H8">
        <f>ABS(D8)</f>
        <v/>
      </c>
    </row>
    <row r="9">
      <c r="B9" t="inlineStr">
        <is>
          <t>Groceries &amp; Food</t>
        </is>
      </c>
      <c r="C9" s="6" t="n">
        <v>-55000</v>
      </c>
      <c r="D9" s="6" t="n">
        <v>-58000</v>
      </c>
      <c r="E9" s="7">
        <f>D9-C9</f>
        <v/>
      </c>
      <c r="F9" s="8">
        <f>IF(C9=0,0,(D9-C9)/ABS(C9))</f>
        <v/>
      </c>
      <c r="H9">
        <f>ABS(D9)</f>
        <v/>
      </c>
    </row>
    <row r="10">
      <c r="B10" t="inlineStr">
        <is>
          <t>Transport &amp; Fuel</t>
        </is>
      </c>
      <c r="C10" s="6" t="n">
        <v>-25000</v>
      </c>
      <c r="D10" s="6" t="n">
        <v>-27000</v>
      </c>
      <c r="E10" s="7">
        <f>D10-C10</f>
        <v/>
      </c>
      <c r="F10" s="8">
        <f>IF(C10=0,0,(D10-C10)/ABS(C10))</f>
        <v/>
      </c>
      <c r="H10">
        <f>ABS(D10)</f>
        <v/>
      </c>
    </row>
    <row r="11">
      <c r="B11" t="inlineStr">
        <is>
          <t>Education (school/tuition fees)</t>
        </is>
      </c>
      <c r="C11" s="6" t="n">
        <v>-30000</v>
      </c>
      <c r="D11" s="6" t="n">
        <v>-30000</v>
      </c>
      <c r="E11" s="7">
        <f>D11-C11</f>
        <v/>
      </c>
      <c r="F11" s="8">
        <f>IF(C11=0,0,(D11-C11)/ABS(C11))</f>
        <v/>
      </c>
      <c r="H11">
        <f>ABS(D11)</f>
        <v/>
      </c>
    </row>
    <row r="12">
      <c r="B12" t="inlineStr">
        <is>
          <t>Healthcare &amp; Insurance</t>
        </is>
      </c>
      <c r="C12" s="6" t="n">
        <v>-12000</v>
      </c>
      <c r="D12" s="6" t="n">
        <v>-9000</v>
      </c>
      <c r="E12" s="7">
        <f>D12-C12</f>
        <v/>
      </c>
      <c r="F12" s="8">
        <f>IF(C12=0,0,(D12-C12)/ABS(C12))</f>
        <v/>
      </c>
      <c r="H12">
        <f>ABS(D12)</f>
        <v/>
      </c>
    </row>
    <row r="13">
      <c r="B13" t="inlineStr">
        <is>
          <t>Debt / Loan Payments</t>
        </is>
      </c>
      <c r="C13" s="6" t="n">
        <v>-15000</v>
      </c>
      <c r="D13" s="6" t="n">
        <v>-15000</v>
      </c>
      <c r="E13" s="7">
        <f>D13-C13</f>
        <v/>
      </c>
      <c r="F13" s="8">
        <f>IF(C13=0,0,(D13-C13)/ABS(C13))</f>
        <v/>
      </c>
      <c r="H13">
        <f>ABS(D13)</f>
        <v/>
      </c>
    </row>
    <row r="14">
      <c r="B14" t="inlineStr">
        <is>
          <t>Discretionary (eating out, entertainment)</t>
        </is>
      </c>
      <c r="C14" s="6" t="n">
        <v>-18000</v>
      </c>
      <c r="D14" s="6" t="n">
        <v>-24000</v>
      </c>
      <c r="E14" s="7">
        <f>D14-C14</f>
        <v/>
      </c>
      <c r="F14" s="8">
        <f>IF(C14=0,0,(D14-C14)/ABS(C14))</f>
        <v/>
      </c>
      <c r="H14">
        <f>ABS(D14)</f>
        <v/>
      </c>
    </row>
    <row r="15">
      <c r="B15" t="inlineStr">
        <is>
          <t>Savings &amp; Investments</t>
        </is>
      </c>
      <c r="C15" s="6" t="n">
        <v>-30000</v>
      </c>
      <c r="D15" s="7">
        <f>D6+SUM(D7:D14)</f>
        <v/>
      </c>
      <c r="E15" s="7">
        <f>D15-C15</f>
        <v/>
      </c>
      <c r="F15" s="8">
        <f>IF(C15=0,0,(D15-C15)/ABS(C15))</f>
        <v/>
      </c>
    </row>
    <row r="17">
      <c r="B17" s="9" t="inlineStr">
        <is>
          <t>Net Cash Flow (Budgeted)</t>
        </is>
      </c>
      <c r="C17" s="10">
        <f>SUM(C6:C15)</f>
        <v/>
      </c>
    </row>
    <row r="18">
      <c r="B18" s="9" t="inlineStr">
        <is>
          <t>Net Cash Flow (Actual)</t>
        </is>
      </c>
      <c r="D18" s="10">
        <f>D15</f>
        <v/>
      </c>
    </row>
  </sheetData>
  <conditionalFormatting sqref="F6:F15">
    <cfRule type="cellIs" priority="1" operator="lessThan" dxfId="0">
      <formula>-0.1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6" customWidth="1" min="3" max="3"/>
  </cols>
  <sheetData>
    <row r="2">
      <c r="B2" s="1" t="inlineStr">
        <is>
          <t>Pakistan Annual CPI Inflation - Historical Reference</t>
        </is>
      </c>
    </row>
    <row r="3">
      <c r="B3" s="2" t="inlineStr">
        <is>
          <t>Representative approximation of PBS/SBP-reported average annual CPI inflation (%), FY basis.</t>
        </is>
      </c>
    </row>
    <row r="5">
      <c r="B5" s="5" t="inlineStr">
        <is>
          <t>Fiscal Year</t>
        </is>
      </c>
      <c r="C5" s="5" t="inlineStr">
        <is>
          <t>Avg Annual CPI Inflation %</t>
        </is>
      </c>
    </row>
    <row r="6">
      <c r="B6" s="11" t="inlineStr">
        <is>
          <t>FY2015</t>
        </is>
      </c>
      <c r="C6" s="8" t="n">
        <v>0.045</v>
      </c>
    </row>
    <row r="7">
      <c r="B7" s="11" t="inlineStr">
        <is>
          <t>FY2016</t>
        </is>
      </c>
      <c r="C7" s="8" t="n">
        <v>0.029</v>
      </c>
    </row>
    <row r="8">
      <c r="B8" s="11" t="inlineStr">
        <is>
          <t>FY2017</t>
        </is>
      </c>
      <c r="C8" s="8" t="n">
        <v>0.042</v>
      </c>
    </row>
    <row r="9">
      <c r="B9" s="11" t="inlineStr">
        <is>
          <t>FY2018</t>
        </is>
      </c>
      <c r="C9" s="8" t="n">
        <v>0.039</v>
      </c>
    </row>
    <row r="10">
      <c r="B10" s="11" t="inlineStr">
        <is>
          <t>FY2019</t>
        </is>
      </c>
      <c r="C10" s="8" t="n">
        <v>0.073</v>
      </c>
    </row>
    <row r="11">
      <c r="B11" s="11" t="inlineStr">
        <is>
          <t>FY2020</t>
        </is>
      </c>
      <c r="C11" s="8" t="n">
        <v>0.107</v>
      </c>
    </row>
    <row r="12">
      <c r="B12" s="11" t="inlineStr">
        <is>
          <t>FY2021</t>
        </is>
      </c>
      <c r="C12" s="8" t="n">
        <v>0.08900000000000001</v>
      </c>
    </row>
    <row r="13">
      <c r="B13" s="11" t="inlineStr">
        <is>
          <t>FY2022</t>
        </is>
      </c>
      <c r="C13" s="8" t="n">
        <v>0.122</v>
      </c>
    </row>
    <row r="14">
      <c r="B14" s="11" t="inlineStr">
        <is>
          <t>FY2023</t>
        </is>
      </c>
      <c r="C14" s="8" t="n">
        <v>0.292</v>
      </c>
    </row>
    <row r="15">
      <c r="B15" s="11" t="inlineStr">
        <is>
          <t>FY2024</t>
        </is>
      </c>
      <c r="C15" s="8" t="n">
        <v>0.234</v>
      </c>
    </row>
    <row r="16">
      <c r="B16" s="11" t="inlineStr">
        <is>
          <t>FY2025 (est.)</t>
        </is>
      </c>
      <c r="C16" s="8" t="n">
        <v>0.065</v>
      </c>
    </row>
    <row r="18">
      <c r="B18" s="9" t="inlineStr">
        <is>
          <t>10-Year Average Inflation</t>
        </is>
      </c>
      <c r="C18" s="12">
        <f>AVERAGE(C6:C16)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4" customWidth="1" min="3" max="3"/>
    <col width="40" customWidth="1" min="4" max="4"/>
  </cols>
  <sheetData>
    <row r="2">
      <c r="B2" s="1" t="inlineStr">
        <is>
          <t>Inflation-Adjusted Expense Projection</t>
        </is>
      </c>
    </row>
    <row r="4">
      <c r="B4" t="inlineStr">
        <is>
          <t>Today's Total Annual Expenses (PKR):</t>
        </is>
      </c>
      <c r="D4" s="6" t="n">
        <v>2760000</v>
      </c>
    </row>
    <row r="5">
      <c r="B5" t="inlineStr">
        <is>
          <t>Assumed Average Annual Inflation Rate:</t>
        </is>
      </c>
      <c r="D5" s="13">
        <f>'Inflation History (PBS)'!C18</f>
        <v/>
      </c>
    </row>
    <row r="6">
      <c r="B6" t="inlineStr">
        <is>
          <t>Assumed Nominal Return on Savings/Investments:</t>
        </is>
      </c>
      <c r="D6" s="13" t="n">
        <v>0.13</v>
      </c>
    </row>
    <row r="7">
      <c r="B7" t="inlineStr">
        <is>
          <t>Real (Inflation-Adjusted) Return Needed Just to Preserve Value:</t>
        </is>
      </c>
      <c r="D7" s="14">
        <f>(1+D6)/(1+D5)-1</f>
        <v/>
      </c>
    </row>
    <row r="9">
      <c r="B9" s="5" t="inlineStr">
        <is>
          <t>Years from Now</t>
        </is>
      </c>
      <c r="C9" s="5" t="inlineStr">
        <is>
          <t>Projected Annual Expenses (Nominal PKR)</t>
        </is>
      </c>
      <c r="D9" s="5" t="inlineStr">
        <is>
          <t>Same Basket, Today's Purchasing Power (Real, constant PKR)</t>
        </is>
      </c>
    </row>
    <row r="10">
      <c r="B10" s="11" t="n">
        <v>0</v>
      </c>
      <c r="C10" s="7">
        <f>$D$4*(1+$D$5)^B10</f>
        <v/>
      </c>
      <c r="D10" s="7">
        <f>$D$4</f>
        <v/>
      </c>
    </row>
    <row r="11">
      <c r="B11" s="11" t="n">
        <v>1</v>
      </c>
      <c r="C11" s="7">
        <f>$D$4*(1+$D$5)^B11</f>
        <v/>
      </c>
      <c r="D11" s="7">
        <f>$D$4</f>
        <v/>
      </c>
    </row>
    <row r="12">
      <c r="B12" s="11" t="n">
        <v>3</v>
      </c>
      <c r="C12" s="7">
        <f>$D$4*(1+$D$5)^B12</f>
        <v/>
      </c>
      <c r="D12" s="7">
        <f>$D$4</f>
        <v/>
      </c>
    </row>
    <row r="13">
      <c r="B13" s="11" t="n">
        <v>5</v>
      </c>
      <c r="C13" s="7">
        <f>$D$4*(1+$D$5)^B13</f>
        <v/>
      </c>
      <c r="D13" s="7">
        <f>$D$4</f>
        <v/>
      </c>
    </row>
    <row r="14">
      <c r="B14" s="11" t="n">
        <v>10</v>
      </c>
      <c r="C14" s="7">
        <f>$D$4*(1+$D$5)^B14</f>
        <v/>
      </c>
      <c r="D14" s="7">
        <f>$D$4</f>
        <v/>
      </c>
    </row>
    <row r="15">
      <c r="B15" s="11" t="n">
        <v>15</v>
      </c>
      <c r="C15" s="7">
        <f>$D$4*(1+$D$5)^B15</f>
        <v/>
      </c>
      <c r="D15" s="7">
        <f>$D$4</f>
        <v/>
      </c>
    </row>
    <row r="16">
      <c r="B16" s="11" t="n">
        <v>20</v>
      </c>
      <c r="C16" s="7">
        <f>$D$4*(1+$D$5)^B16</f>
        <v/>
      </c>
      <c r="D16" s="7">
        <f>$D$4</f>
        <v/>
      </c>
    </row>
    <row r="18">
      <c r="B18" s="15" t="inlineStr">
        <is>
          <t>Reading this table: the nominal PKR figure you'll need just to buy the SAME basket of goods grows every year at the inflation rate; the real (constant-PKR) column stays flat by definition - that gap IS the cost of inflation.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4" customWidth="1" min="3" max="3"/>
    <col width="20" customWidth="1" min="4" max="4"/>
  </cols>
  <sheetData>
    <row r="2">
      <c r="B2" s="1" t="inlineStr">
        <is>
          <t>Retirement / Goal-Based Savings Calculator</t>
        </is>
      </c>
    </row>
    <row r="3">
      <c r="B3" s="2" t="inlineStr">
        <is>
          <t>Uses standard time-value-of-money formulas (FV, PMT).</t>
        </is>
      </c>
    </row>
    <row r="5">
      <c r="B5" t="inlineStr">
        <is>
          <t>Current age</t>
        </is>
      </c>
      <c r="D5" s="6" t="n">
        <v>30</v>
      </c>
    </row>
    <row r="6">
      <c r="B6" t="inlineStr">
        <is>
          <t>Target retirement age</t>
        </is>
      </c>
      <c r="D6" s="6" t="n">
        <v>60</v>
      </c>
    </row>
    <row r="7">
      <c r="B7" t="inlineStr">
        <is>
          <t>Current annual expenses (PKR)</t>
        </is>
      </c>
      <c r="D7" s="6" t="n">
        <v>2760000</v>
      </c>
    </row>
    <row r="8">
      <c r="B8" t="inlineStr">
        <is>
          <t>Assumed inflation rate (annual)</t>
        </is>
      </c>
      <c r="D8" s="13" t="n">
        <v>0.08</v>
      </c>
    </row>
    <row r="9">
      <c r="B9" t="inlineStr">
        <is>
          <t>Assumed investment return (nominal, annual)</t>
        </is>
      </c>
      <c r="D9" s="13" t="n">
        <v>0.15</v>
      </c>
    </row>
    <row r="10">
      <c r="B10" t="inlineStr">
        <is>
          <t>Years of retirement to fund</t>
        </is>
      </c>
      <c r="D10" s="6" t="n">
        <v>20</v>
      </c>
    </row>
    <row r="11">
      <c r="B11" t="inlineStr">
        <is>
          <t>Current retirement savings (PKR)</t>
        </is>
      </c>
      <c r="D11" s="6" t="n">
        <v>500000</v>
      </c>
    </row>
    <row r="13">
      <c r="B13" s="9" t="inlineStr">
        <is>
          <t>Years Until Retirement</t>
        </is>
      </c>
      <c r="D13">
        <f>D6-D5</f>
        <v/>
      </c>
    </row>
    <row r="14">
      <c r="B14" s="9" t="inlineStr">
        <is>
          <t>Annual Expenses at Retirement (inflated)</t>
        </is>
      </c>
      <c r="D14" s="16">
        <f>D7*(1+D8)^D13</f>
        <v/>
      </c>
    </row>
    <row r="15">
      <c r="B15" s="9" t="inlineStr">
        <is>
          <t>Retirement Corpus Needed (approx., using real annuity)</t>
        </is>
      </c>
      <c r="D15" s="16">
        <f>D14*(1-(1+((1+D9)/(1+D8)-1))^-D10)/((1+D9)/(1+D8)-1)</f>
        <v/>
      </c>
    </row>
    <row r="16">
      <c r="B16" s="3" t="inlineStr">
        <is>
          <t>Required Monthly Savings (nominal) to Reach Corpus</t>
        </is>
      </c>
      <c r="D16" s="17">
        <f>-PMT(D9/12,D13*12,D11,D15)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28" customWidth="1" min="4" max="4"/>
  </cols>
  <sheetData>
    <row r="2">
      <c r="B2" s="1" t="inlineStr">
        <is>
          <t>Inflation Erosion Dashboard</t>
        </is>
      </c>
    </row>
    <row r="4">
      <c r="B4" s="3" t="inlineStr">
        <is>
          <t>Nominal vs. Real Value of a PKR 1,000,000 Savings Pot (kept in cash/low-yield account at 6% p.a.,
inflation per 'Inflation Planner' assumption), over 10 years</t>
        </is>
      </c>
    </row>
    <row r="7">
      <c r="B7" s="5" t="inlineStr">
        <is>
          <t>Year</t>
        </is>
      </c>
      <c r="C7" s="5" t="inlineStr">
        <is>
          <t>Nominal Value (6% growth)</t>
        </is>
      </c>
      <c r="D7" s="5" t="inlineStr">
        <is>
          <t>Real Value (inflation-adjusted)</t>
        </is>
      </c>
    </row>
    <row r="8">
      <c r="B8" s="11" t="n">
        <v>0</v>
      </c>
      <c r="C8" s="7">
        <f>1000000*(1.06)^B8</f>
        <v/>
      </c>
      <c r="D8" s="7">
        <f>1000000*(1.06)^B8/(1+'Inflation Planner'!$D$5)^B8</f>
        <v/>
      </c>
    </row>
    <row r="9">
      <c r="B9" s="11" t="n">
        <v>1</v>
      </c>
      <c r="C9" s="7">
        <f>1000000*(1.06)^B9</f>
        <v/>
      </c>
      <c r="D9" s="7">
        <f>1000000*(1.06)^B9/(1+'Inflation Planner'!$D$5)^B9</f>
        <v/>
      </c>
    </row>
    <row r="10">
      <c r="B10" s="11" t="n">
        <v>2</v>
      </c>
      <c r="C10" s="7">
        <f>1000000*(1.06)^B10</f>
        <v/>
      </c>
      <c r="D10" s="7">
        <f>1000000*(1.06)^B10/(1+'Inflation Planner'!$D$5)^B10</f>
        <v/>
      </c>
    </row>
    <row r="11">
      <c r="B11" s="11" t="n">
        <v>3</v>
      </c>
      <c r="C11" s="7">
        <f>1000000*(1.06)^B11</f>
        <v/>
      </c>
      <c r="D11" s="7">
        <f>1000000*(1.06)^B11/(1+'Inflation Planner'!$D$5)^B11</f>
        <v/>
      </c>
    </row>
    <row r="12">
      <c r="B12" s="11" t="n">
        <v>4</v>
      </c>
      <c r="C12" s="7">
        <f>1000000*(1.06)^B12</f>
        <v/>
      </c>
      <c r="D12" s="7">
        <f>1000000*(1.06)^B12/(1+'Inflation Planner'!$D$5)^B12</f>
        <v/>
      </c>
    </row>
    <row r="13">
      <c r="B13" s="11" t="n">
        <v>5</v>
      </c>
      <c r="C13" s="7">
        <f>1000000*(1.06)^B13</f>
        <v/>
      </c>
      <c r="D13" s="7">
        <f>1000000*(1.06)^B13/(1+'Inflation Planner'!$D$5)^B13</f>
        <v/>
      </c>
    </row>
    <row r="14">
      <c r="B14" s="11" t="n">
        <v>6</v>
      </c>
      <c r="C14" s="7">
        <f>1000000*(1.06)^B14</f>
        <v/>
      </c>
      <c r="D14" s="7">
        <f>1000000*(1.06)^B14/(1+'Inflation Planner'!$D$5)^B14</f>
        <v/>
      </c>
    </row>
    <row r="15">
      <c r="B15" s="11" t="n">
        <v>7</v>
      </c>
      <c r="C15" s="7">
        <f>1000000*(1.06)^B15</f>
        <v/>
      </c>
      <c r="D15" s="7">
        <f>1000000*(1.06)^B15/(1+'Inflation Planner'!$D$5)^B15</f>
        <v/>
      </c>
    </row>
    <row r="16">
      <c r="B16" s="11" t="n">
        <v>8</v>
      </c>
      <c r="C16" s="7">
        <f>1000000*(1.06)^B16</f>
        <v/>
      </c>
      <c r="D16" s="7">
        <f>1000000*(1.06)^B16/(1+'Inflation Planner'!$D$5)^B16</f>
        <v/>
      </c>
    </row>
    <row r="17">
      <c r="B17" s="11" t="n">
        <v>9</v>
      </c>
      <c r="C17" s="7">
        <f>1000000*(1.06)^B17</f>
        <v/>
      </c>
      <c r="D17" s="7">
        <f>1000000*(1.06)^B17/(1+'Inflation Planner'!$D$5)^B17</f>
        <v/>
      </c>
    </row>
    <row r="18">
      <c r="B18" s="11" t="n">
        <v>10</v>
      </c>
      <c r="C18" s="7">
        <f>1000000*(1.06)^B18</f>
        <v/>
      </c>
      <c r="D18" s="7">
        <f>1000000*(1.06)^B18/(1+'Inflation Planner'!$D$5)^B18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Key Findings &amp; Recommendations</t>
        </is>
      </c>
    </row>
    <row r="4">
      <c r="B4" s="18" t="inlineStr">
        <is>
          <t>1. At a 6% nominal return with inflation running near the 10-year historical average, a household's savings pot</t>
        </is>
      </c>
    </row>
    <row r="5">
      <c r="B5" s="18" t="inlineStr">
        <is>
          <t xml:space="preserve">   can visibly LOSE real purchasing power even as its PKR balance keeps growing - this is the 'money illusion'</t>
        </is>
      </c>
    </row>
    <row r="6">
      <c r="B6" s="18" t="inlineStr">
        <is>
          <t xml:space="preserve">   problem the Dashboard chart is designed to make immediately visible.</t>
        </is>
      </c>
    </row>
    <row r="7">
      <c r="B7" s="18" t="inlineStr">
        <is>
          <t>2. The 'real return needed just to preserve value' calculation in 'Inflation Planner' is the single most useful</t>
        </is>
      </c>
    </row>
    <row r="8">
      <c r="B8" s="18" t="inlineStr">
        <is>
          <t xml:space="preserve">   number in this workbook for a Pakistani saver: it reframes the question from 'what return am I getting?' to</t>
        </is>
      </c>
    </row>
    <row r="9">
      <c r="B9" s="18" t="inlineStr">
        <is>
          <t xml:space="preserve">   'am I actually ahead of inflation?' - a distinction most conventional bank savings products fail on for long</t>
        </is>
      </c>
    </row>
    <row r="10">
      <c r="B10" s="18" t="inlineStr">
        <is>
          <t xml:space="preserve">   stretches of the last five years (FY2023's ~29% average inflation exceeded almost every conventional deposit rate).</t>
        </is>
      </c>
    </row>
    <row r="11">
      <c r="B11" s="18" t="inlineStr">
        <is>
          <t>3. The retirement corpus calculation shows why a fixed monthly savings amount set once and never revisited is</t>
        </is>
      </c>
    </row>
    <row r="12">
      <c r="B12" s="18" t="inlineStr">
        <is>
          <t xml:space="preserve">   dangerous in Pakistan's inflation environment - the required monthly contribution should be re-run at least</t>
        </is>
      </c>
    </row>
    <row r="13">
      <c r="B13" s="18" t="inlineStr">
        <is>
          <t xml:space="preserve">   annually as actual inflation and returns diverge from assumptions.</t>
        </is>
      </c>
    </row>
    <row r="14">
      <c r="B14" s="18" t="inlineStr">
        <is>
          <t>4. RECOMMENDATION: households should prioritise savings vehicles with a real chance of beating inflation over the</t>
        </is>
      </c>
    </row>
    <row r="15">
      <c r="B15" s="18" t="inlineStr">
        <is>
          <t xml:space="preserve">   full holding period (e.g. equity mutual funds, Shariah or conventional - see Project 3/4) for any goal more</t>
        </is>
      </c>
    </row>
    <row r="16">
      <c r="B16" s="18" t="inlineStr">
        <is>
          <t xml:space="preserve">   than 3-5 years away, and reserve pure cash/T-bill instruments for short-term/emergency funds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2026-09-13T12:13:59Z</dcterms:created>
  <dcterms:modified xsi:type="dcterms:W3CDTF">2026-09-13T12:13:59Z</dcterms:modified>
</cp:coreProperties>
</file>